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haparyan\OneDrive - City of Torrance\Desktop\"/>
    </mc:Choice>
  </mc:AlternateContent>
  <xr:revisionPtr revIDLastSave="0" documentId="13_ncr:1_{77CE3D2D-80B3-42F1-864E-616F46F80A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ity Manager Master" sheetId="1" r:id="rId1"/>
    <sheet name="Summary" sheetId="2" r:id="rId2"/>
    <sheet name="Chang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J30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33" i="1"/>
  <c r="J32" i="1"/>
  <c r="J31" i="1"/>
  <c r="J28" i="1"/>
  <c r="J27" i="1"/>
  <c r="J26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6" i="1"/>
  <c r="J5" i="1"/>
  <c r="J4" i="1"/>
</calcChain>
</file>

<file path=xl/sharedStrings.xml><?xml version="1.0" encoding="utf-8"?>
<sst xmlns="http://schemas.openxmlformats.org/spreadsheetml/2006/main" count="642" uniqueCount="453">
  <si>
    <t>City</t>
  </si>
  <si>
    <t>City Manager</t>
  </si>
  <si>
    <t>Status</t>
  </si>
  <si>
    <t>Assistant City Manager</t>
  </si>
  <si>
    <t>Email</t>
  </si>
  <si>
    <t>Phone</t>
  </si>
  <si>
    <t>Population</t>
  </si>
  <si>
    <t>Regular Pay</t>
  </si>
  <si>
    <t>Benefits Contribution</t>
  </si>
  <si>
    <t>Total Pay</t>
  </si>
  <si>
    <t>Retirement Formula</t>
  </si>
  <si>
    <t>Employee Share of PERS</t>
  </si>
  <si>
    <t>Date of Appointment</t>
  </si>
  <si>
    <t>Notes</t>
  </si>
  <si>
    <t>Agoura Hills</t>
  </si>
  <si>
    <t>Nathan Hamburger</t>
  </si>
  <si>
    <t>Active</t>
  </si>
  <si>
    <t>Ramiro Adeva</t>
  </si>
  <si>
    <t>nhamburger@agourahillscity.org</t>
  </si>
  <si>
    <t>(818) 597-7304</t>
  </si>
  <si>
    <t>Alhambra</t>
  </si>
  <si>
    <t>Jessica Binnquist</t>
  </si>
  <si>
    <t>Lucy Garcia</t>
  </si>
  <si>
    <t>jbinnquist@cityofalhambra.org</t>
  </si>
  <si>
    <t>(626) 570-5010</t>
  </si>
  <si>
    <t>Arcadia</t>
  </si>
  <si>
    <t>Dominic Lazzaretto</t>
  </si>
  <si>
    <t>domlazz@ArcadiaCA.gov</t>
  </si>
  <si>
    <t>(626) 574-5401</t>
  </si>
  <si>
    <t>Artesia</t>
  </si>
  <si>
    <t>Abel Avalos</t>
  </si>
  <si>
    <t>(562) 865-6262 ext. 278</t>
  </si>
  <si>
    <t>Avalon</t>
  </si>
  <si>
    <t>David Maistros</t>
  </si>
  <si>
    <t>Jocelyn Francis</t>
  </si>
  <si>
    <t>dmaistros@cityofavalon.com</t>
  </si>
  <si>
    <t>(310) 510-0220</t>
  </si>
  <si>
    <t>Azusa</t>
  </si>
  <si>
    <t>Sergio Gonzalez</t>
  </si>
  <si>
    <t>Nico De Anda-Scaia</t>
  </si>
  <si>
    <t>Sergio.Gonzalez@azusaca.gov</t>
  </si>
  <si>
    <t>(626) 812-5239</t>
  </si>
  <si>
    <t>Baldwin Park</t>
  </si>
  <si>
    <t>Manuel Carrillo Jr.</t>
  </si>
  <si>
    <t>Rosa Caballero</t>
  </si>
  <si>
    <t>mcarrillo@baldwinparkca.gov</t>
  </si>
  <si>
    <t>(626) 813-5204</t>
  </si>
  <si>
    <t>Bell</t>
  </si>
  <si>
    <t>Michael L. Antwine II</t>
  </si>
  <si>
    <t>mantwine@cityofbell.org</t>
  </si>
  <si>
    <t>(323) 588-6211 x 2617</t>
  </si>
  <si>
    <t>Bell Gardens</t>
  </si>
  <si>
    <t>Michael B. O'Kelly</t>
  </si>
  <si>
    <t>MOKelly@bellgardens.org</t>
  </si>
  <si>
    <t>(562) 806-7702</t>
  </si>
  <si>
    <t>Bellflower</t>
  </si>
  <si>
    <t>Ryan Smoot</t>
  </si>
  <si>
    <t>Lydia Munoz</t>
  </si>
  <si>
    <t>Beverly Hills</t>
  </si>
  <si>
    <t>Ryan Gohlich</t>
  </si>
  <si>
    <t>Citymanager@beverlyhills.org</t>
  </si>
  <si>
    <t>(310) 285-1014</t>
  </si>
  <si>
    <t>Bradbury</t>
  </si>
  <si>
    <t>Kevin Kearney</t>
  </si>
  <si>
    <t>kkearney@cityofbradbury.org</t>
  </si>
  <si>
    <t>(626) 358-3218</t>
  </si>
  <si>
    <t>Burbank</t>
  </si>
  <si>
    <t>Justin Hess</t>
  </si>
  <si>
    <t>Courtney Padgett</t>
  </si>
  <si>
    <t>jhess@burbankca.gov</t>
  </si>
  <si>
    <t>(818) 238-5800</t>
  </si>
  <si>
    <t>Calabasas</t>
  </si>
  <si>
    <t>Kindon Meik</t>
  </si>
  <si>
    <t>Scott Trujillo</t>
  </si>
  <si>
    <t>kmeik@cityofcalabasas.com</t>
  </si>
  <si>
    <t>(818) 224-1600</t>
  </si>
  <si>
    <t>Carson</t>
  </si>
  <si>
    <t>David C Roberts, Jr.</t>
  </si>
  <si>
    <t>DRoberts@carsonca.gov</t>
  </si>
  <si>
    <t>(310) 952-1730</t>
  </si>
  <si>
    <t>Cerritos</t>
  </si>
  <si>
    <t>Robert A. Lopez</t>
  </si>
  <si>
    <t>Kathy Matsumoto</t>
  </si>
  <si>
    <t>ralopez@cerritos.gov</t>
  </si>
  <si>
    <t>(562) 860-0311</t>
  </si>
  <si>
    <t>Claremont</t>
  </si>
  <si>
    <t>Adam Pirrie</t>
  </si>
  <si>
    <t>Jamie Earl</t>
  </si>
  <si>
    <t>apirrie@ci.claremont.ca.us</t>
  </si>
  <si>
    <t>(909) 399-5441</t>
  </si>
  <si>
    <t>Commerce</t>
  </si>
  <si>
    <t>Ernie Hernandez</t>
  </si>
  <si>
    <t>ehernandez@ci.commerce.ca.us</t>
  </si>
  <si>
    <t>(323) 722-4805 x 2250</t>
  </si>
  <si>
    <t>Compton</t>
  </si>
  <si>
    <t>Willie A. Hopkins</t>
  </si>
  <si>
    <t>Triphenia Simmons</t>
  </si>
  <si>
    <t>contactcm@comptoncity.org</t>
  </si>
  <si>
    <t>(310) 605-5585</t>
  </si>
  <si>
    <t>Covina</t>
  </si>
  <si>
    <t>Chris Marcarello</t>
  </si>
  <si>
    <t>cmarcarello@covinaca.gov</t>
  </si>
  <si>
    <t>(626) 384-5410</t>
  </si>
  <si>
    <t>Cudahy</t>
  </si>
  <si>
    <t>Johncito Peraza</t>
  </si>
  <si>
    <t>anoyola@cityofcudahyca.gov</t>
  </si>
  <si>
    <t>(323) 773-5143 x 226</t>
  </si>
  <si>
    <t>Culver City</t>
  </si>
  <si>
    <t>(310) 253-6000</t>
  </si>
  <si>
    <t>Diamond Bar</t>
  </si>
  <si>
    <t>Dan Fox</t>
  </si>
  <si>
    <t>Ryan McLean</t>
  </si>
  <si>
    <t>dfox@diamondbarca.gov</t>
  </si>
  <si>
    <t>(909) 839-7010</t>
  </si>
  <si>
    <t>Downey</t>
  </si>
  <si>
    <t>Roger Bradley</t>
  </si>
  <si>
    <t>RBradley@downeyca.org</t>
  </si>
  <si>
    <t>(562) 904-7284</t>
  </si>
  <si>
    <t>Duarte</t>
  </si>
  <si>
    <t>Brian Villalobos</t>
  </si>
  <si>
    <t>Andres Rangel</t>
  </si>
  <si>
    <t>(626) 357-7931 x 221</t>
  </si>
  <si>
    <t>El Monte</t>
  </si>
  <si>
    <t>Alma K. Martinez</t>
  </si>
  <si>
    <t>amartinez@elmonteca.gov</t>
  </si>
  <si>
    <t>(626) 580-2001</t>
  </si>
  <si>
    <t>El Segundo</t>
  </si>
  <si>
    <t>Darrell George</t>
  </si>
  <si>
    <t>Barbara Voss</t>
  </si>
  <si>
    <t>dgeorge@elsegundo.org</t>
  </si>
  <si>
    <t>(310) 524-2301</t>
  </si>
  <si>
    <t>Gardena</t>
  </si>
  <si>
    <t>Clint Osorio</t>
  </si>
  <si>
    <t>Cosorio@ci.gardena.ca.us</t>
  </si>
  <si>
    <t>(310) 217-9503</t>
  </si>
  <si>
    <t>Glendale</t>
  </si>
  <si>
    <t>Roubik Golanian</t>
  </si>
  <si>
    <t>John Takhtalian</t>
  </si>
  <si>
    <t>rgolanian@glendaleca.gov</t>
  </si>
  <si>
    <t>(818) 548-4844</t>
  </si>
  <si>
    <t>Glendora</t>
  </si>
  <si>
    <t>Adam Raymond</t>
  </si>
  <si>
    <t>Moises Lopez</t>
  </si>
  <si>
    <t>ARaymond@cityofglendora.org</t>
  </si>
  <si>
    <t>(626) 914-8201</t>
  </si>
  <si>
    <t>Hawaiian Gardens</t>
  </si>
  <si>
    <t>Ernesto Marquez</t>
  </si>
  <si>
    <t>Emarquez@hgcity.org</t>
  </si>
  <si>
    <t>(562) 420-2641 x 201</t>
  </si>
  <si>
    <t>Hawthorne</t>
  </si>
  <si>
    <t>Vontray (Von) Norris</t>
  </si>
  <si>
    <t>VNorris@cityofhawthorne.org</t>
  </si>
  <si>
    <t>(310) 349-2908</t>
  </si>
  <si>
    <t>Hermosa Beach</t>
  </si>
  <si>
    <t>Steve Napolitano</t>
  </si>
  <si>
    <t>snapolitano@hermosabeach.gov</t>
  </si>
  <si>
    <t>(310) 318-0216</t>
  </si>
  <si>
    <t>Hidden Hills</t>
  </si>
  <si>
    <t>(818) 888-9281</t>
  </si>
  <si>
    <t>Huntington Park</t>
  </si>
  <si>
    <t>Ricardo Reyes</t>
  </si>
  <si>
    <t>Daniela Sanchez</t>
  </si>
  <si>
    <t>Rreyes@hpca.gov</t>
  </si>
  <si>
    <t>(323) 582-6161</t>
  </si>
  <si>
    <t>Industry</t>
  </si>
  <si>
    <t>Joshua Nelson</t>
  </si>
  <si>
    <t>Bing H. Hyun</t>
  </si>
  <si>
    <t>JNelson@cityofindustry.org</t>
  </si>
  <si>
    <t>(626) 333-2211</t>
  </si>
  <si>
    <t>Inglewood</t>
  </si>
  <si>
    <t>Louis A. Atwell</t>
  </si>
  <si>
    <t>Jose O. Cortes</t>
  </si>
  <si>
    <t>latwell@cityofinglewood.org</t>
  </si>
  <si>
    <t>(310) 412-5301</t>
  </si>
  <si>
    <t>Irwindale</t>
  </si>
  <si>
    <t>Julian Miranda</t>
  </si>
  <si>
    <t>Theresa Olivares</t>
  </si>
  <si>
    <t>jmiranda@irwindaleca.gov</t>
  </si>
  <si>
    <t>(626) 430-2217</t>
  </si>
  <si>
    <t>La Cañada Flintridge</t>
  </si>
  <si>
    <t>Dr. Daniel Jordan</t>
  </si>
  <si>
    <t>djordan@lcf.ca.gov</t>
  </si>
  <si>
    <t>(818) 790-8880</t>
  </si>
  <si>
    <t>La Habra Heights</t>
  </si>
  <si>
    <t>Rafferty Wooldridge</t>
  </si>
  <si>
    <t>info@LHHCity.org</t>
  </si>
  <si>
    <t>562-694-6302 x 233</t>
  </si>
  <si>
    <t>La Mirada</t>
  </si>
  <si>
    <t>Jeff Boynton</t>
  </si>
  <si>
    <t>Anne Haraksin</t>
  </si>
  <si>
    <t>Jboynton@cityoflamirada.org</t>
  </si>
  <si>
    <t>(562) 943-0131</t>
  </si>
  <si>
    <t>La Puente</t>
  </si>
  <si>
    <t>Bob Lindsey</t>
  </si>
  <si>
    <t>Blindsey@lapuente.org</t>
  </si>
  <si>
    <t>(626) 855-1500</t>
  </si>
  <si>
    <t>La Verne</t>
  </si>
  <si>
    <t>Ken Domer</t>
  </si>
  <si>
    <t>KDomer@cityoflaverne.org</t>
  </si>
  <si>
    <t>(909) 596-8726</t>
  </si>
  <si>
    <t>Lakewood</t>
  </si>
  <si>
    <t>Thaddeus McCormack</t>
  </si>
  <si>
    <t>service1@lakewoodcity.org</t>
  </si>
  <si>
    <t>(562) 866-9771</t>
  </si>
  <si>
    <t>Lancaster</t>
  </si>
  <si>
    <t>Trolis Niebla, P.E., M.S.</t>
  </si>
  <si>
    <t>Larissa De La Cruz</t>
  </si>
  <si>
    <t>(661) 723-6000</t>
  </si>
  <si>
    <t>Lawndale</t>
  </si>
  <si>
    <t>Vacant</t>
  </si>
  <si>
    <t>Raylette Felton</t>
  </si>
  <si>
    <t>(310) 973-3202</t>
  </si>
  <si>
    <t>Lomita</t>
  </si>
  <si>
    <t>Andrew Vialpando</t>
  </si>
  <si>
    <t>(310) 325-7110</t>
  </si>
  <si>
    <t>Long Beach</t>
  </si>
  <si>
    <t>Tom Modica</t>
  </si>
  <si>
    <t>April Walker</t>
  </si>
  <si>
    <t>(562) 570-5091</t>
  </si>
  <si>
    <t>Los Angeles</t>
  </si>
  <si>
    <t>Matthew W. Szabo</t>
  </si>
  <si>
    <t>CAO.Webmaster@lacity.org</t>
  </si>
  <si>
    <t>(213) 473-7565</t>
  </si>
  <si>
    <t>Lynwood</t>
  </si>
  <si>
    <t>Suja Lowenthall</t>
  </si>
  <si>
    <t>(310) 603-0220 X 200</t>
  </si>
  <si>
    <t>Malibu</t>
  </si>
  <si>
    <t>Joe Irvin</t>
  </si>
  <si>
    <t>Interim</t>
  </si>
  <si>
    <t>Denise Romo</t>
  </si>
  <si>
    <t>JIrvin@malibucity.org</t>
  </si>
  <si>
    <t>(310) 456-2489 X 226</t>
  </si>
  <si>
    <t>Manhattan Beach</t>
  </si>
  <si>
    <t>Talyn Mirzakhanian</t>
  </si>
  <si>
    <t>cm@manhattanbeach.gov</t>
  </si>
  <si>
    <t>(310) 802-5053</t>
  </si>
  <si>
    <t>Maywood</t>
  </si>
  <si>
    <t>Jennifer Vasquez</t>
  </si>
  <si>
    <t>Jose De Santos</t>
  </si>
  <si>
    <t>jennifer.vasquez@cityofmaywood.org</t>
  </si>
  <si>
    <t>(323) 562-5700</t>
  </si>
  <si>
    <t>Monrovia</t>
  </si>
  <si>
    <t>Dylan Feik</t>
  </si>
  <si>
    <t>Lauren Vasquez</t>
  </si>
  <si>
    <t>dfeik@ci.monrovia.ca.us</t>
  </si>
  <si>
    <t>(626) 932-5585</t>
  </si>
  <si>
    <t>Montebello</t>
  </si>
  <si>
    <t>Raul Alvarez</t>
  </si>
  <si>
    <t>ralvarez@montebelloca.gov</t>
  </si>
  <si>
    <t>(323) 887-1363</t>
  </si>
  <si>
    <t>Monterey Park</t>
  </si>
  <si>
    <t>Inez Alvarez</t>
  </si>
  <si>
    <t>Diana Garcia</t>
  </si>
  <si>
    <t>ialvarez@montereypark.ca.gov</t>
  </si>
  <si>
    <t>(626) 307-1255</t>
  </si>
  <si>
    <t>Norwalk</t>
  </si>
  <si>
    <t>Jesus M. Gomez</t>
  </si>
  <si>
    <t>Ozzie Ramos</t>
  </si>
  <si>
    <t>administration@norwalkca.gov</t>
  </si>
  <si>
    <t>(562) 929-5772</t>
  </si>
  <si>
    <t>Palmdale</t>
  </si>
  <si>
    <t>Sal Mendez</t>
  </si>
  <si>
    <t>rperez@cityofpalmdale.org</t>
  </si>
  <si>
    <t>(661) 267-5106</t>
  </si>
  <si>
    <t>Palos Verdes Estates</t>
  </si>
  <si>
    <t>Kerry Kallman</t>
  </si>
  <si>
    <t>George Gabriel</t>
  </si>
  <si>
    <t>citymanager@pvestates.org</t>
  </si>
  <si>
    <t>(310) 378-0383</t>
  </si>
  <si>
    <t>Paramount</t>
  </si>
  <si>
    <t>John Moreno</t>
  </si>
  <si>
    <t>jmoreno@paramountcity.com</t>
  </si>
  <si>
    <t>(562) 220-2225</t>
  </si>
  <si>
    <t>Pasadena</t>
  </si>
  <si>
    <t>Pending</t>
  </si>
  <si>
    <t>Nicholas G. Rodriguez</t>
  </si>
  <si>
    <t>(626) 744-4333</t>
  </si>
  <si>
    <t>Pico Rivera</t>
  </si>
  <si>
    <t>Steve Carmona</t>
  </si>
  <si>
    <t>Scarmona@pico-rivera.org</t>
  </si>
  <si>
    <t>(562) 801-4371</t>
  </si>
  <si>
    <t>Pomona</t>
  </si>
  <si>
    <t>Anita D. Scott</t>
  </si>
  <si>
    <t>Mark Gluba</t>
  </si>
  <si>
    <t>(909) 620-2051</t>
  </si>
  <si>
    <t>Rancho Palos Verdes</t>
  </si>
  <si>
    <t>Ara Mihranian</t>
  </si>
  <si>
    <t>Catherine Jun</t>
  </si>
  <si>
    <t>aram@rpvca.gov</t>
  </si>
  <si>
    <t>(310) 544-5207</t>
  </si>
  <si>
    <t>Redondo Beach</t>
  </si>
  <si>
    <t>Mike Witzansky</t>
  </si>
  <si>
    <t>mike.witzansky@redondo.org</t>
  </si>
  <si>
    <t>(310) 318-0630</t>
  </si>
  <si>
    <t>Rolling Hills</t>
  </si>
  <si>
    <t>Karina Bañales</t>
  </si>
  <si>
    <t>KBanales@CityofRH.net</t>
  </si>
  <si>
    <t>(310) 377-1521</t>
  </si>
  <si>
    <t>Rolling Hills Estates</t>
  </si>
  <si>
    <t>Greg Grammer</t>
  </si>
  <si>
    <t>GregG@rollinghillsestesca.gov</t>
  </si>
  <si>
    <t>(310) 377-1577 x 101</t>
  </si>
  <si>
    <t>Rosemead</t>
  </si>
  <si>
    <t>Ben Kim</t>
  </si>
  <si>
    <t>Linda Ta</t>
  </si>
  <si>
    <t>bkim@cityofrosemead.org</t>
  </si>
  <si>
    <t>(626) 569-2169</t>
  </si>
  <si>
    <t>San Dimas</t>
  </si>
  <si>
    <t>Brad McKinney</t>
  </si>
  <si>
    <t>administration@sandimasca.gov</t>
  </si>
  <si>
    <t>(909) 394-6210</t>
  </si>
  <si>
    <t>San Fernando</t>
  </si>
  <si>
    <t>Kanika Kith</t>
  </si>
  <si>
    <t>Julie Duarte</t>
  </si>
  <si>
    <t>CityManager@sfcity.org</t>
  </si>
  <si>
    <t>(818) 898-1202</t>
  </si>
  <si>
    <t>San Gabriel</t>
  </si>
  <si>
    <t>Mark Lazzaretto</t>
  </si>
  <si>
    <t>mlazzaretto@sgch.org</t>
  </si>
  <si>
    <t>(626) 308-2805</t>
  </si>
  <si>
    <t>San Marino</t>
  </si>
  <si>
    <t>Philippe Eskandar</t>
  </si>
  <si>
    <t>citymanageroffice@cityofsanmarino.org</t>
  </si>
  <si>
    <t>(626) 300-0788</t>
  </si>
  <si>
    <t>Santa Clarita</t>
  </si>
  <si>
    <t>Ken Striplin</t>
  </si>
  <si>
    <t>Frank Oviedo</t>
  </si>
  <si>
    <t>kstriplin@santaclarita.gov</t>
  </si>
  <si>
    <t>(661) 255-4905</t>
  </si>
  <si>
    <t>Santa Fe Springs</t>
  </si>
  <si>
    <t>René Bobadilla</t>
  </si>
  <si>
    <t>Nicholas Razo</t>
  </si>
  <si>
    <t>RBobadilla@santafesprings.org</t>
  </si>
  <si>
    <t>(562) 868-0511 x 7510</t>
  </si>
  <si>
    <t>Santa Monica</t>
  </si>
  <si>
    <t>Oliver Chi</t>
  </si>
  <si>
    <t>manager@santamonicaca.gov</t>
  </si>
  <si>
    <t>(310) 458-8411</t>
  </si>
  <si>
    <t>Sierra Madre</t>
  </si>
  <si>
    <t>Michael Bruckner</t>
  </si>
  <si>
    <t>Miguel Hernandez</t>
  </si>
  <si>
    <t>mbruckner@sierramadreca.gov</t>
  </si>
  <si>
    <t>(626) 355-7135 x 201</t>
  </si>
  <si>
    <t>Signal Hill</t>
  </si>
  <si>
    <t>Carlo Tomaino</t>
  </si>
  <si>
    <t>citymanager@cityofsignalhill.org</t>
  </si>
  <si>
    <t>(562) 989-7305</t>
  </si>
  <si>
    <t>South El Monte</t>
  </si>
  <si>
    <t>Rene Salas</t>
  </si>
  <si>
    <t>Eric Diaz</t>
  </si>
  <si>
    <t>rsalas@soelmonte.org</t>
  </si>
  <si>
    <t>(626) 579-6540 x 3215</t>
  </si>
  <si>
    <t>South Gate</t>
  </si>
  <si>
    <t>Rob Houston</t>
  </si>
  <si>
    <t>Alicia Estrada</t>
  </si>
  <si>
    <t>rhouston@sogate.org</t>
  </si>
  <si>
    <t>(323) 563-9503</t>
  </si>
  <si>
    <t>South Pasadena</t>
  </si>
  <si>
    <t>Todd Hileman</t>
  </si>
  <si>
    <t>Nick Kimball</t>
  </si>
  <si>
    <t>cmoffice@southpasadenaca.gov</t>
  </si>
  <si>
    <t>(626) 403-7210</t>
  </si>
  <si>
    <t>Temple City</t>
  </si>
  <si>
    <t>Bryan Cook</t>
  </si>
  <si>
    <t>Liz Ortiz</t>
  </si>
  <si>
    <t>bcook@templecity.us</t>
  </si>
  <si>
    <t>(626) 285-2171 x 4110</t>
  </si>
  <si>
    <t>Torrance</t>
  </si>
  <si>
    <t>Aram Chaparyan</t>
  </si>
  <si>
    <t>Danny Santana</t>
  </si>
  <si>
    <t>AChaparyan@TorranceCA.Gov</t>
  </si>
  <si>
    <t>(310) 618-5880</t>
  </si>
  <si>
    <t>Vernon</t>
  </si>
  <si>
    <t>Brian Saeki</t>
  </si>
  <si>
    <t>Angela Kimmey</t>
  </si>
  <si>
    <t>bsaeki@cityofvernon.ca.gov</t>
  </si>
  <si>
    <t>(323) 583-8811 x 228</t>
  </si>
  <si>
    <t>Walnut</t>
  </si>
  <si>
    <t>Tom Weiner</t>
  </si>
  <si>
    <t>(909) 348-0701</t>
  </si>
  <si>
    <t>West Covina</t>
  </si>
  <si>
    <t>Milan Mrakich</t>
  </si>
  <si>
    <t>Acting</t>
  </si>
  <si>
    <t>MMrakich@westcovina.org</t>
  </si>
  <si>
    <t>(626) 939-8401</t>
  </si>
  <si>
    <t>West Hollywood</t>
  </si>
  <si>
    <t>Jackie Rocco</t>
  </si>
  <si>
    <t>(323) 848-6400</t>
  </si>
  <si>
    <t>Westlake Village</t>
  </si>
  <si>
    <t>Rob de Geus</t>
  </si>
  <si>
    <t>Caleb Mott</t>
  </si>
  <si>
    <t>(818) 706-1613</t>
  </si>
  <si>
    <t>Whittier</t>
  </si>
  <si>
    <t>Conal McNamara</t>
  </si>
  <si>
    <t>Shannon DeLong</t>
  </si>
  <si>
    <t>admin@cityofwhittier.org</t>
  </si>
  <si>
    <t>(562) 567-9301</t>
  </si>
  <si>
    <t>LA County City Manager Master File - Summary</t>
  </si>
  <si>
    <t>Total Cities</t>
  </si>
  <si>
    <t>Active City Managers</t>
  </si>
  <si>
    <t>Interim City Managers</t>
  </si>
  <si>
    <t>Acting City Managers</t>
  </si>
  <si>
    <t>Average Total Compensation</t>
  </si>
  <si>
    <t>Highest Total Compensation</t>
  </si>
  <si>
    <t>Lowest Total Compensation</t>
  </si>
  <si>
    <t>Median Total Compensation</t>
  </si>
  <si>
    <t>Total Population Served</t>
  </si>
  <si>
    <t>Last Updated</t>
  </si>
  <si>
    <t>January 06, 2026</t>
  </si>
  <si>
    <t>Primary Source</t>
  </si>
  <si>
    <t>LA County CEO Roster 8/20/2025</t>
  </si>
  <si>
    <t>Compensation Source</t>
  </si>
  <si>
    <t>GCC California 2026</t>
  </si>
  <si>
    <t>City Manager Change Log</t>
  </si>
  <si>
    <t>Date</t>
  </si>
  <si>
    <t>Change Type</t>
  </si>
  <si>
    <t>Previous</t>
  </si>
  <si>
    <t>Current</t>
  </si>
  <si>
    <t>1/6/2026</t>
  </si>
  <si>
    <t>New Appointment</t>
  </si>
  <si>
    <t>Candace Bond (Interim)</t>
  </si>
  <si>
    <t>Joe Irvin (eff. 3/2/2026)</t>
  </si>
  <si>
    <t>Permanent appointment Dec 2025</t>
  </si>
  <si>
    <t>David Wilson</t>
  </si>
  <si>
    <t>Jackie Rocco (eff. 1/2026)</t>
  </si>
  <si>
    <t>First female CM</t>
  </si>
  <si>
    <t>12/10/2025</t>
  </si>
  <si>
    <t>Status Change</t>
  </si>
  <si>
    <t>Napolitano confirmed</t>
  </si>
  <si>
    <t>10/20/2025</t>
  </si>
  <si>
    <t>Kith permanent - first female CM</t>
  </si>
  <si>
    <t>7/14/2025</t>
  </si>
  <si>
    <t>N/A</t>
  </si>
  <si>
    <t>Former Irvine CM</t>
  </si>
  <si>
    <t>2% at 55</t>
  </si>
  <si>
    <t>2.7% at 55</t>
  </si>
  <si>
    <t>Contract through 2031</t>
  </si>
  <si>
    <t>2% at 60</t>
  </si>
  <si>
    <t>3% at 60</t>
  </si>
  <si>
    <t>2024 Data</t>
  </si>
  <si>
    <t>2% at 62</t>
  </si>
  <si>
    <t>Odis Jones</t>
  </si>
  <si>
    <t>2.5% at 55</t>
  </si>
  <si>
    <t>Nancy Hunt-Coffey</t>
  </si>
  <si>
    <t>Ryan Gohlirch will take over July 1, 2026</t>
  </si>
  <si>
    <t>?</t>
  </si>
  <si>
    <t>Gloria Molleda</t>
  </si>
  <si>
    <t>2% at 55%</t>
  </si>
  <si>
    <t>2.16% at 55</t>
  </si>
  <si>
    <t>Miguel Marquez</t>
  </si>
  <si>
    <t>Newly appointed - Verify Contract</t>
  </si>
  <si>
    <t>Verified by CM</t>
  </si>
  <si>
    <t>Benjamin Ceja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</si>
</sst>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sz val="11"/>
      <color rgb="FF222222"/>
      <name val="Calibri"/>
      <family val="2"/>
    </font>
    <font>
      <sz val="11"/>
      <color rgb="FF0A0A0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0" fontId="3" fillId="3" borderId="0" xfId="0" applyFont="1" applyFill="1"/>
    <xf numFmtId="0" fontId="0" fillId="4" borderId="1" xfId="0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1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/>
    <xf numFmtId="164" fontId="0" fillId="5" borderId="1" xfId="0" applyNumberFormat="1" applyFill="1" applyBorder="1"/>
    <xf numFmtId="164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3" fontId="0" fillId="5" borderId="1" xfId="0" applyNumberFormat="1" applyFill="1" applyBorder="1" applyAlignment="1">
      <alignment horizontal="right"/>
    </xf>
    <xf numFmtId="164" fontId="0" fillId="5" borderId="1" xfId="0" applyNumberFormat="1" applyFill="1" applyBorder="1" applyAlignment="1">
      <alignment horizontal="right"/>
    </xf>
    <xf numFmtId="164" fontId="0" fillId="5" borderId="1" xfId="0" applyNumberFormat="1" applyFill="1" applyBorder="1" applyAlignment="1">
      <alignment horizontal="left"/>
    </xf>
    <xf numFmtId="3" fontId="0" fillId="0" borderId="1" xfId="0" applyNumberFormat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/>
    <xf numFmtId="0" fontId="5" fillId="4" borderId="1" xfId="0" applyFont="1" applyFill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Y91"/>
  <sheetViews>
    <sheetView tabSelected="1" zoomScale="130" zoomScaleNormal="130" workbookViewId="0">
      <pane ySplit="3" topLeftCell="A37" activePane="bottomLeft" state="frozen"/>
      <selection pane="bottomLeft" activeCell="D52" sqref="D52"/>
    </sheetView>
  </sheetViews>
  <sheetFormatPr defaultRowHeight="15" x14ac:dyDescent="0.25"/>
  <cols>
    <col min="1" max="1" width="22" style="2" customWidth="1"/>
    <col min="2" max="2" width="28" style="2" customWidth="1"/>
    <col min="3" max="3" width="10" style="2" customWidth="1"/>
    <col min="4" max="4" width="28" style="2" customWidth="1"/>
    <col min="5" max="5" width="38" style="2" customWidth="1"/>
    <col min="6" max="6" width="22" style="2" customWidth="1"/>
    <col min="7" max="7" width="12" style="2" customWidth="1"/>
    <col min="8" max="8" width="14" style="2" customWidth="1"/>
    <col min="9" max="9" width="18" style="2" customWidth="1"/>
    <col min="10" max="12" width="14" style="2" customWidth="1"/>
    <col min="13" max="13" width="20" style="25" customWidth="1"/>
    <col min="14" max="14" width="50" style="2" customWidth="1"/>
    <col min="15" max="16384" width="9.140625" style="2"/>
  </cols>
  <sheetData>
    <row r="1" spans="1:14" x14ac:dyDescent="0.25">
      <c r="A1" s="2" t="s">
        <v>439</v>
      </c>
    </row>
    <row r="3" spans="1:14" ht="30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28" t="s">
        <v>13</v>
      </c>
    </row>
    <row r="4" spans="1:14" x14ac:dyDescent="0.25">
      <c r="A4" s="12" t="s">
        <v>14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3">
        <v>19904</v>
      </c>
      <c r="H4" s="14">
        <v>298568</v>
      </c>
      <c r="I4" s="14">
        <v>90750</v>
      </c>
      <c r="J4" s="14">
        <f>H4+I4</f>
        <v>389318</v>
      </c>
      <c r="K4" s="15" t="s">
        <v>434</v>
      </c>
      <c r="L4" s="14"/>
      <c r="M4" s="16">
        <v>44013</v>
      </c>
    </row>
    <row r="5" spans="1:14" x14ac:dyDescent="0.25">
      <c r="A5" s="12" t="s">
        <v>20</v>
      </c>
      <c r="B5" s="12" t="s">
        <v>21</v>
      </c>
      <c r="C5" s="12" t="s">
        <v>16</v>
      </c>
      <c r="D5" s="12" t="s">
        <v>22</v>
      </c>
      <c r="E5" s="12" t="s">
        <v>23</v>
      </c>
      <c r="F5" s="12" t="s">
        <v>24</v>
      </c>
      <c r="G5" s="13">
        <v>82374</v>
      </c>
      <c r="H5" s="14">
        <v>303345</v>
      </c>
      <c r="I5" s="14">
        <v>59824</v>
      </c>
      <c r="J5" s="14">
        <f>H5+I5</f>
        <v>363169</v>
      </c>
      <c r="K5" s="15" t="s">
        <v>435</v>
      </c>
      <c r="L5" s="14"/>
      <c r="M5" s="16">
        <v>43101</v>
      </c>
      <c r="N5" s="2" t="s">
        <v>436</v>
      </c>
    </row>
    <row r="6" spans="1:14" x14ac:dyDescent="0.25">
      <c r="A6" s="12" t="s">
        <v>25</v>
      </c>
      <c r="B6" s="12" t="s">
        <v>26</v>
      </c>
      <c r="C6" s="12" t="s">
        <v>16</v>
      </c>
      <c r="D6" s="12"/>
      <c r="E6" s="12" t="s">
        <v>27</v>
      </c>
      <c r="F6" s="12" t="s">
        <v>28</v>
      </c>
      <c r="G6" s="13">
        <v>56116</v>
      </c>
      <c r="H6" s="14">
        <v>290908</v>
      </c>
      <c r="I6" s="14">
        <v>72839</v>
      </c>
      <c r="J6" s="14">
        <f>H6+I6</f>
        <v>363747</v>
      </c>
      <c r="K6" s="15" t="s">
        <v>437</v>
      </c>
      <c r="L6" s="14"/>
      <c r="M6" s="16">
        <v>40969</v>
      </c>
    </row>
    <row r="7" spans="1:14" x14ac:dyDescent="0.25">
      <c r="A7" s="7" t="s">
        <v>29</v>
      </c>
      <c r="B7" s="7" t="s">
        <v>30</v>
      </c>
      <c r="C7" s="7" t="s">
        <v>16</v>
      </c>
      <c r="D7" s="7"/>
      <c r="E7" s="7"/>
      <c r="F7" s="7" t="s">
        <v>31</v>
      </c>
      <c r="G7" s="8">
        <v>16359</v>
      </c>
      <c r="H7" s="9">
        <v>198084</v>
      </c>
      <c r="I7" s="9">
        <v>48281</v>
      </c>
      <c r="J7" s="9">
        <v>246365</v>
      </c>
      <c r="K7" s="11" t="s">
        <v>437</v>
      </c>
      <c r="L7" s="9"/>
      <c r="M7" s="10">
        <v>45566</v>
      </c>
      <c r="N7" s="2" t="s">
        <v>450</v>
      </c>
    </row>
    <row r="8" spans="1:14" x14ac:dyDescent="0.25">
      <c r="A8" s="12" t="s">
        <v>32</v>
      </c>
      <c r="B8" s="12" t="s">
        <v>33</v>
      </c>
      <c r="C8" s="12" t="s">
        <v>16</v>
      </c>
      <c r="D8" s="12" t="s">
        <v>34</v>
      </c>
      <c r="E8" s="12" t="s">
        <v>35</v>
      </c>
      <c r="F8" s="12" t="s">
        <v>36</v>
      </c>
      <c r="G8" s="13">
        <v>3383</v>
      </c>
      <c r="H8" s="14">
        <v>230422</v>
      </c>
      <c r="I8" s="14">
        <v>36030</v>
      </c>
      <c r="J8" s="14">
        <f>H8+I8</f>
        <v>266452</v>
      </c>
      <c r="K8" s="15" t="s">
        <v>440</v>
      </c>
      <c r="L8" s="14"/>
      <c r="M8" s="16">
        <v>44501</v>
      </c>
    </row>
    <row r="9" spans="1:14" x14ac:dyDescent="0.25">
      <c r="A9" s="12" t="s">
        <v>37</v>
      </c>
      <c r="B9" s="12" t="s">
        <v>38</v>
      </c>
      <c r="C9" s="12" t="s">
        <v>16</v>
      </c>
      <c r="D9" s="12" t="s">
        <v>39</v>
      </c>
      <c r="E9" s="12" t="s">
        <v>40</v>
      </c>
      <c r="F9" s="12" t="s">
        <v>41</v>
      </c>
      <c r="G9" s="13">
        <v>48988</v>
      </c>
      <c r="H9" s="14">
        <v>309000</v>
      </c>
      <c r="I9" s="14">
        <v>82364</v>
      </c>
      <c r="J9" s="14">
        <f>H9+I9</f>
        <v>391364</v>
      </c>
      <c r="K9" s="15" t="s">
        <v>434</v>
      </c>
      <c r="L9" s="14"/>
      <c r="M9" s="16">
        <v>43192</v>
      </c>
    </row>
    <row r="10" spans="1:14" x14ac:dyDescent="0.25">
      <c r="A10" s="7" t="s">
        <v>42</v>
      </c>
      <c r="B10" s="7" t="s">
        <v>43</v>
      </c>
      <c r="C10" s="7" t="s">
        <v>16</v>
      </c>
      <c r="D10" s="7" t="s">
        <v>44</v>
      </c>
      <c r="E10" s="7" t="s">
        <v>45</v>
      </c>
      <c r="F10" s="7" t="s">
        <v>46</v>
      </c>
      <c r="G10" s="8">
        <v>70848</v>
      </c>
      <c r="H10" s="9">
        <v>315103</v>
      </c>
      <c r="I10" s="9">
        <v>32251</v>
      </c>
      <c r="J10" s="9">
        <v>347354</v>
      </c>
      <c r="K10" s="9"/>
      <c r="L10" s="9"/>
      <c r="M10" s="10">
        <v>45778</v>
      </c>
      <c r="N10" s="2" t="s">
        <v>450</v>
      </c>
    </row>
    <row r="11" spans="1:14" x14ac:dyDescent="0.25">
      <c r="A11" s="12" t="s">
        <v>47</v>
      </c>
      <c r="B11" s="12" t="s">
        <v>48</v>
      </c>
      <c r="C11" s="12" t="s">
        <v>16</v>
      </c>
      <c r="D11" s="12"/>
      <c r="E11" s="12" t="s">
        <v>49</v>
      </c>
      <c r="F11" s="12" t="s">
        <v>50</v>
      </c>
      <c r="G11" s="13">
        <v>33315</v>
      </c>
      <c r="H11" s="14">
        <v>215249</v>
      </c>
      <c r="I11" s="14">
        <v>73441</v>
      </c>
      <c r="J11" s="14">
        <f t="shared" ref="J11:J23" si="0">H11+I11</f>
        <v>288690</v>
      </c>
      <c r="K11" s="15" t="s">
        <v>435</v>
      </c>
      <c r="L11" s="14"/>
      <c r="M11" s="16">
        <v>44743</v>
      </c>
    </row>
    <row r="12" spans="1:14" x14ac:dyDescent="0.25">
      <c r="A12" s="12" t="s">
        <v>51</v>
      </c>
      <c r="B12" s="12" t="s">
        <v>52</v>
      </c>
      <c r="C12" s="12" t="s">
        <v>16</v>
      </c>
      <c r="D12" s="12"/>
      <c r="E12" s="12" t="s">
        <v>53</v>
      </c>
      <c r="F12" s="12" t="s">
        <v>54</v>
      </c>
      <c r="G12" s="13">
        <v>38471</v>
      </c>
      <c r="H12" s="14">
        <v>284928</v>
      </c>
      <c r="I12" s="14">
        <v>71946</v>
      </c>
      <c r="J12" s="14">
        <f t="shared" si="0"/>
        <v>356874</v>
      </c>
      <c r="K12" s="15" t="s">
        <v>434</v>
      </c>
      <c r="L12" s="14"/>
      <c r="M12" s="16" t="s">
        <v>445</v>
      </c>
    </row>
    <row r="13" spans="1:14" x14ac:dyDescent="0.25">
      <c r="A13" s="12" t="s">
        <v>55</v>
      </c>
      <c r="B13" s="12" t="s">
        <v>56</v>
      </c>
      <c r="C13" s="12" t="s">
        <v>16</v>
      </c>
      <c r="D13" s="12" t="s">
        <v>57</v>
      </c>
      <c r="E13" s="12"/>
      <c r="F13" s="12"/>
      <c r="G13" s="13">
        <v>76656</v>
      </c>
      <c r="H13" s="14">
        <v>255590</v>
      </c>
      <c r="I13" s="14">
        <v>78327</v>
      </c>
      <c r="J13" s="14">
        <f t="shared" si="0"/>
        <v>333917</v>
      </c>
      <c r="K13" s="15" t="s">
        <v>434</v>
      </c>
      <c r="L13" s="14"/>
      <c r="M13" s="16">
        <v>45292</v>
      </c>
    </row>
    <row r="14" spans="1:14" x14ac:dyDescent="0.25">
      <c r="A14" s="12" t="s">
        <v>58</v>
      </c>
      <c r="B14" s="26" t="s">
        <v>443</v>
      </c>
      <c r="C14" s="12" t="s">
        <v>16</v>
      </c>
      <c r="D14" s="12" t="s">
        <v>59</v>
      </c>
      <c r="E14" s="12" t="s">
        <v>60</v>
      </c>
      <c r="F14" s="12" t="s">
        <v>61</v>
      </c>
      <c r="G14" s="13">
        <v>31945</v>
      </c>
      <c r="H14" s="14">
        <v>408724</v>
      </c>
      <c r="I14" s="14">
        <v>168769</v>
      </c>
      <c r="J14" s="14">
        <f t="shared" si="0"/>
        <v>577493</v>
      </c>
      <c r="K14" s="15" t="s">
        <v>442</v>
      </c>
      <c r="L14" s="14"/>
      <c r="M14" s="16">
        <v>44927</v>
      </c>
      <c r="N14" s="2" t="s">
        <v>444</v>
      </c>
    </row>
    <row r="15" spans="1:14" x14ac:dyDescent="0.25">
      <c r="A15" s="12" t="s">
        <v>62</v>
      </c>
      <c r="B15" s="12" t="s">
        <v>63</v>
      </c>
      <c r="C15" s="12" t="s">
        <v>16</v>
      </c>
      <c r="D15" s="12"/>
      <c r="E15" s="12" t="s">
        <v>64</v>
      </c>
      <c r="F15" s="12" t="s">
        <v>65</v>
      </c>
      <c r="G15" s="13">
        <v>902</v>
      </c>
      <c r="H15" s="14">
        <v>193800</v>
      </c>
      <c r="I15" s="14">
        <v>59442</v>
      </c>
      <c r="J15" s="14">
        <f t="shared" si="0"/>
        <v>253242</v>
      </c>
      <c r="K15" s="15" t="s">
        <v>437</v>
      </c>
      <c r="L15" s="14"/>
      <c r="M15" s="16">
        <v>42826</v>
      </c>
    </row>
    <row r="16" spans="1:14" x14ac:dyDescent="0.25">
      <c r="A16" s="12" t="s">
        <v>66</v>
      </c>
      <c r="B16" s="12" t="s">
        <v>67</v>
      </c>
      <c r="C16" s="12" t="s">
        <v>16</v>
      </c>
      <c r="D16" s="12" t="s">
        <v>68</v>
      </c>
      <c r="E16" s="12" t="s">
        <v>69</v>
      </c>
      <c r="F16" s="12" t="s">
        <v>70</v>
      </c>
      <c r="G16" s="13">
        <v>106146</v>
      </c>
      <c r="H16" s="14">
        <v>305172</v>
      </c>
      <c r="I16" s="14">
        <v>50349</v>
      </c>
      <c r="J16" s="14">
        <f t="shared" si="0"/>
        <v>355521</v>
      </c>
      <c r="K16" s="15" t="s">
        <v>442</v>
      </c>
      <c r="L16" s="14"/>
      <c r="M16" s="16">
        <v>43466</v>
      </c>
    </row>
    <row r="17" spans="1:14" x14ac:dyDescent="0.25">
      <c r="A17" s="12" t="s">
        <v>71</v>
      </c>
      <c r="B17" s="12" t="s">
        <v>72</v>
      </c>
      <c r="C17" s="12" t="s">
        <v>16</v>
      </c>
      <c r="D17" s="12" t="s">
        <v>73</v>
      </c>
      <c r="E17" s="12" t="s">
        <v>74</v>
      </c>
      <c r="F17" s="12" t="s">
        <v>75</v>
      </c>
      <c r="G17" s="13">
        <v>22797</v>
      </c>
      <c r="H17" s="14">
        <v>261396</v>
      </c>
      <c r="I17" s="14">
        <v>65496</v>
      </c>
      <c r="J17" s="14">
        <f t="shared" si="0"/>
        <v>326892</v>
      </c>
      <c r="K17" s="15" t="s">
        <v>434</v>
      </c>
      <c r="L17" s="14"/>
      <c r="M17" s="16">
        <v>44270</v>
      </c>
    </row>
    <row r="18" spans="1:14" x14ac:dyDescent="0.25">
      <c r="A18" s="12" t="s">
        <v>76</v>
      </c>
      <c r="B18" s="12" t="s">
        <v>77</v>
      </c>
      <c r="C18" s="12" t="s">
        <v>16</v>
      </c>
      <c r="D18" s="12"/>
      <c r="E18" s="12" t="s">
        <v>78</v>
      </c>
      <c r="F18" s="12" t="s">
        <v>79</v>
      </c>
      <c r="G18" s="13">
        <v>96901</v>
      </c>
      <c r="H18" s="14">
        <v>329703</v>
      </c>
      <c r="I18" s="14">
        <v>80481</v>
      </c>
      <c r="J18" s="14">
        <f t="shared" si="0"/>
        <v>410184</v>
      </c>
      <c r="K18" s="15" t="s">
        <v>434</v>
      </c>
      <c r="L18" s="14"/>
      <c r="M18" s="16">
        <v>44607</v>
      </c>
      <c r="N18" s="2" t="s">
        <v>451</v>
      </c>
    </row>
    <row r="19" spans="1:14" x14ac:dyDescent="0.25">
      <c r="A19" s="12" t="s">
        <v>80</v>
      </c>
      <c r="B19" s="12" t="s">
        <v>81</v>
      </c>
      <c r="C19" s="12" t="s">
        <v>16</v>
      </c>
      <c r="D19" s="12" t="s">
        <v>82</v>
      </c>
      <c r="E19" s="12" t="s">
        <v>83</v>
      </c>
      <c r="F19" s="12" t="s">
        <v>84</v>
      </c>
      <c r="G19" s="13">
        <v>47871</v>
      </c>
      <c r="H19" s="14">
        <v>286131</v>
      </c>
      <c r="I19" s="14">
        <v>89461</v>
      </c>
      <c r="J19" s="14">
        <f t="shared" si="0"/>
        <v>375592</v>
      </c>
      <c r="K19" s="15" t="s">
        <v>438</v>
      </c>
      <c r="L19" s="14"/>
      <c r="M19" s="16">
        <v>45234</v>
      </c>
    </row>
    <row r="20" spans="1:14" x14ac:dyDescent="0.25">
      <c r="A20" s="12" t="s">
        <v>85</v>
      </c>
      <c r="B20" s="12" t="s">
        <v>86</v>
      </c>
      <c r="C20" s="12" t="s">
        <v>16</v>
      </c>
      <c r="D20" s="12" t="s">
        <v>87</v>
      </c>
      <c r="E20" s="12" t="s">
        <v>88</v>
      </c>
      <c r="F20" s="12" t="s">
        <v>89</v>
      </c>
      <c r="G20" s="13">
        <v>37299</v>
      </c>
      <c r="H20" s="14">
        <v>261612</v>
      </c>
      <c r="I20" s="14">
        <v>44807</v>
      </c>
      <c r="J20" s="14">
        <f t="shared" si="0"/>
        <v>306419</v>
      </c>
      <c r="K20" s="15" t="s">
        <v>442</v>
      </c>
      <c r="L20" s="14"/>
      <c r="M20" s="16">
        <v>44250</v>
      </c>
    </row>
    <row r="21" spans="1:14" x14ac:dyDescent="0.25">
      <c r="A21" s="12" t="s">
        <v>90</v>
      </c>
      <c r="B21" s="12" t="s">
        <v>91</v>
      </c>
      <c r="C21" s="12" t="s">
        <v>16</v>
      </c>
      <c r="D21" s="12"/>
      <c r="E21" s="12" t="s">
        <v>92</v>
      </c>
      <c r="F21" s="12" t="s">
        <v>93</v>
      </c>
      <c r="G21" s="13">
        <v>12146</v>
      </c>
      <c r="H21" s="14">
        <v>210922</v>
      </c>
      <c r="I21" s="14">
        <v>79379</v>
      </c>
      <c r="J21" s="14">
        <f t="shared" si="0"/>
        <v>290301</v>
      </c>
      <c r="K21" s="15" t="s">
        <v>434</v>
      </c>
      <c r="L21" s="14"/>
      <c r="M21" s="16">
        <v>45444</v>
      </c>
    </row>
    <row r="22" spans="1:14" x14ac:dyDescent="0.25">
      <c r="A22" s="12" t="s">
        <v>94</v>
      </c>
      <c r="B22" s="12" t="s">
        <v>95</v>
      </c>
      <c r="C22" s="12" t="s">
        <v>16</v>
      </c>
      <c r="D22" s="12" t="s">
        <v>96</v>
      </c>
      <c r="E22" s="12" t="s">
        <v>97</v>
      </c>
      <c r="F22" s="12" t="s">
        <v>98</v>
      </c>
      <c r="G22" s="13">
        <v>93692</v>
      </c>
      <c r="H22" s="14">
        <v>241186</v>
      </c>
      <c r="I22" s="14">
        <v>31766</v>
      </c>
      <c r="J22" s="14">
        <f t="shared" si="0"/>
        <v>272952</v>
      </c>
      <c r="K22" s="15" t="s">
        <v>440</v>
      </c>
      <c r="L22" s="14"/>
      <c r="M22" s="16">
        <v>45299</v>
      </c>
    </row>
    <row r="23" spans="1:14" x14ac:dyDescent="0.25">
      <c r="A23" s="12" t="s">
        <v>99</v>
      </c>
      <c r="B23" s="12" t="s">
        <v>100</v>
      </c>
      <c r="C23" s="12" t="s">
        <v>16</v>
      </c>
      <c r="D23" s="12"/>
      <c r="E23" s="12" t="s">
        <v>101</v>
      </c>
      <c r="F23" s="12" t="s">
        <v>102</v>
      </c>
      <c r="G23" s="13">
        <v>51090</v>
      </c>
      <c r="H23" s="14">
        <v>281526</v>
      </c>
      <c r="I23" s="14">
        <v>34334</v>
      </c>
      <c r="J23" s="14">
        <f t="shared" si="0"/>
        <v>315860</v>
      </c>
      <c r="K23" s="15" t="s">
        <v>442</v>
      </c>
      <c r="L23" s="14"/>
      <c r="M23" s="16">
        <v>43252</v>
      </c>
    </row>
    <row r="24" spans="1:14" x14ac:dyDescent="0.25">
      <c r="A24" s="7" t="s">
        <v>103</v>
      </c>
      <c r="B24" s="7" t="s">
        <v>209</v>
      </c>
      <c r="C24" s="7" t="s">
        <v>16</v>
      </c>
      <c r="D24" s="7" t="s">
        <v>104</v>
      </c>
      <c r="E24" s="7" t="s">
        <v>105</v>
      </c>
      <c r="F24" s="7" t="s">
        <v>106</v>
      </c>
      <c r="G24" s="8">
        <v>22132</v>
      </c>
      <c r="H24" s="9"/>
      <c r="I24" s="9"/>
      <c r="J24" s="9"/>
      <c r="K24" s="9"/>
      <c r="L24" s="9"/>
      <c r="M24" s="10"/>
    </row>
    <row r="25" spans="1:14" x14ac:dyDescent="0.25">
      <c r="A25" s="7" t="s">
        <v>107</v>
      </c>
      <c r="B25" s="7" t="s">
        <v>441</v>
      </c>
      <c r="C25" s="7" t="s">
        <v>16</v>
      </c>
      <c r="D25" s="7"/>
      <c r="E25" s="7"/>
      <c r="F25" s="7" t="s">
        <v>108</v>
      </c>
      <c r="G25" s="8">
        <v>40403</v>
      </c>
      <c r="H25" s="9">
        <v>370000</v>
      </c>
      <c r="I25" s="9"/>
      <c r="J25" s="9"/>
      <c r="K25" s="9"/>
      <c r="L25" s="9"/>
      <c r="M25" s="10">
        <v>46006</v>
      </c>
      <c r="N25" s="2" t="s">
        <v>450</v>
      </c>
    </row>
    <row r="26" spans="1:14" x14ac:dyDescent="0.25">
      <c r="A26" s="12" t="s">
        <v>109</v>
      </c>
      <c r="B26" s="12" t="s">
        <v>110</v>
      </c>
      <c r="C26" s="12" t="s">
        <v>16</v>
      </c>
      <c r="D26" s="12" t="s">
        <v>111</v>
      </c>
      <c r="E26" s="12" t="s">
        <v>112</v>
      </c>
      <c r="F26" s="12" t="s">
        <v>113</v>
      </c>
      <c r="G26" s="13">
        <v>53539</v>
      </c>
      <c r="H26" s="14">
        <v>261082</v>
      </c>
      <c r="I26" s="14">
        <v>69821</v>
      </c>
      <c r="J26" s="14">
        <f t="shared" ref="J26:J89" si="1">H26+I26</f>
        <v>330903</v>
      </c>
      <c r="K26" s="15" t="s">
        <v>434</v>
      </c>
      <c r="L26" s="14"/>
      <c r="M26" s="16">
        <v>42917</v>
      </c>
    </row>
    <row r="27" spans="1:14" x14ac:dyDescent="0.25">
      <c r="A27" s="12" t="s">
        <v>114</v>
      </c>
      <c r="B27" s="12" t="s">
        <v>115</v>
      </c>
      <c r="C27" s="12" t="s">
        <v>16</v>
      </c>
      <c r="D27" s="12"/>
      <c r="E27" s="12" t="s">
        <v>116</v>
      </c>
      <c r="F27" s="12" t="s">
        <v>117</v>
      </c>
      <c r="G27" s="13">
        <v>111871</v>
      </c>
      <c r="H27" s="14">
        <v>287126</v>
      </c>
      <c r="I27" s="14">
        <v>60385</v>
      </c>
      <c r="J27" s="14">
        <f t="shared" si="1"/>
        <v>347511</v>
      </c>
      <c r="K27" s="15" t="s">
        <v>437</v>
      </c>
      <c r="L27" s="14"/>
      <c r="M27" s="16">
        <v>44999</v>
      </c>
    </row>
    <row r="28" spans="1:14" x14ac:dyDescent="0.25">
      <c r="A28" s="12" t="s">
        <v>118</v>
      </c>
      <c r="B28" s="12" t="s">
        <v>119</v>
      </c>
      <c r="C28" s="12" t="s">
        <v>16</v>
      </c>
      <c r="D28" s="12" t="s">
        <v>120</v>
      </c>
      <c r="E28" s="12"/>
      <c r="F28" s="12" t="s">
        <v>121</v>
      </c>
      <c r="G28" s="13">
        <v>23746</v>
      </c>
      <c r="H28" s="14">
        <v>224918</v>
      </c>
      <c r="I28" s="14">
        <v>60690</v>
      </c>
      <c r="J28" s="14">
        <f t="shared" si="1"/>
        <v>285608</v>
      </c>
      <c r="K28" s="15" t="s">
        <v>442</v>
      </c>
      <c r="L28" s="14"/>
      <c r="M28" s="16">
        <v>45078</v>
      </c>
    </row>
    <row r="29" spans="1:14" x14ac:dyDescent="0.25">
      <c r="A29" s="12" t="s">
        <v>122</v>
      </c>
      <c r="B29" s="12" t="s">
        <v>123</v>
      </c>
      <c r="C29" s="12" t="s">
        <v>16</v>
      </c>
      <c r="D29" s="12"/>
      <c r="E29" s="12" t="s">
        <v>124</v>
      </c>
      <c r="F29" s="12" t="s">
        <v>125</v>
      </c>
      <c r="G29" s="13">
        <v>107986</v>
      </c>
      <c r="H29" s="22">
        <v>371384.28</v>
      </c>
      <c r="I29" s="22">
        <v>65617.440000000002</v>
      </c>
      <c r="J29" s="14">
        <f>H29+I29</f>
        <v>437001.72000000003</v>
      </c>
      <c r="K29" s="15" t="s">
        <v>440</v>
      </c>
      <c r="L29" s="14"/>
      <c r="M29" s="16">
        <v>43691</v>
      </c>
      <c r="N29" s="2" t="s">
        <v>451</v>
      </c>
    </row>
    <row r="30" spans="1:14" x14ac:dyDescent="0.25">
      <c r="A30" s="12" t="s">
        <v>126</v>
      </c>
      <c r="B30" s="12" t="s">
        <v>127</v>
      </c>
      <c r="C30" s="12" t="s">
        <v>16</v>
      </c>
      <c r="D30" s="12" t="s">
        <v>128</v>
      </c>
      <c r="E30" s="12" t="s">
        <v>129</v>
      </c>
      <c r="F30" s="12" t="s">
        <v>130</v>
      </c>
      <c r="G30" s="13">
        <v>16983</v>
      </c>
      <c r="H30" s="14">
        <v>262271</v>
      </c>
      <c r="I30" s="14">
        <v>28800</v>
      </c>
      <c r="J30" s="14">
        <f t="shared" si="1"/>
        <v>291071</v>
      </c>
      <c r="K30" s="15" t="s">
        <v>440</v>
      </c>
      <c r="L30" s="14"/>
      <c r="M30" s="16">
        <v>44743</v>
      </c>
    </row>
    <row r="31" spans="1:14" x14ac:dyDescent="0.25">
      <c r="A31" s="12" t="s">
        <v>131</v>
      </c>
      <c r="B31" s="12" t="s">
        <v>132</v>
      </c>
      <c r="C31" s="12" t="s">
        <v>16</v>
      </c>
      <c r="D31" s="12"/>
      <c r="E31" s="12" t="s">
        <v>133</v>
      </c>
      <c r="F31" s="12" t="s">
        <v>134</v>
      </c>
      <c r="G31" s="13">
        <v>60263</v>
      </c>
      <c r="H31" s="14">
        <v>315107</v>
      </c>
      <c r="I31" s="14">
        <v>81888</v>
      </c>
      <c r="J31" s="14">
        <f t="shared" si="1"/>
        <v>396995</v>
      </c>
      <c r="K31" s="15" t="s">
        <v>434</v>
      </c>
      <c r="L31" s="14"/>
      <c r="M31" s="16">
        <v>43800</v>
      </c>
    </row>
    <row r="32" spans="1:14" x14ac:dyDescent="0.25">
      <c r="A32" s="12" t="s">
        <v>135</v>
      </c>
      <c r="B32" s="12" t="s">
        <v>136</v>
      </c>
      <c r="C32" s="12" t="s">
        <v>16</v>
      </c>
      <c r="D32" s="12" t="s">
        <v>137</v>
      </c>
      <c r="E32" s="12" t="s">
        <v>138</v>
      </c>
      <c r="F32" s="12" t="s">
        <v>139</v>
      </c>
      <c r="G32" s="13">
        <v>192212</v>
      </c>
      <c r="H32" s="14">
        <v>355216</v>
      </c>
      <c r="I32" s="14">
        <v>170802</v>
      </c>
      <c r="J32" s="14">
        <f t="shared" si="1"/>
        <v>526018</v>
      </c>
      <c r="K32" s="15" t="s">
        <v>442</v>
      </c>
      <c r="L32" s="14"/>
      <c r="M32" s="16">
        <v>44264</v>
      </c>
    </row>
    <row r="33" spans="1:14" x14ac:dyDescent="0.25">
      <c r="A33" s="12" t="s">
        <v>140</v>
      </c>
      <c r="B33" s="12" t="s">
        <v>141</v>
      </c>
      <c r="C33" s="12" t="s">
        <v>16</v>
      </c>
      <c r="D33" s="12" t="s">
        <v>142</v>
      </c>
      <c r="E33" s="12" t="s">
        <v>143</v>
      </c>
      <c r="F33" s="12" t="s">
        <v>144</v>
      </c>
      <c r="G33" s="13">
        <v>51254</v>
      </c>
      <c r="H33" s="14">
        <v>359606</v>
      </c>
      <c r="I33" s="14">
        <v>28849</v>
      </c>
      <c r="J33" s="14">
        <f t="shared" si="1"/>
        <v>388455</v>
      </c>
      <c r="K33" s="15" t="s">
        <v>437</v>
      </c>
      <c r="L33" s="14"/>
      <c r="M33" s="16">
        <v>43313</v>
      </c>
    </row>
    <row r="34" spans="1:14" x14ac:dyDescent="0.25">
      <c r="A34" s="12" t="s">
        <v>145</v>
      </c>
      <c r="B34" s="12" t="s">
        <v>146</v>
      </c>
      <c r="C34" s="12" t="s">
        <v>16</v>
      </c>
      <c r="D34" s="12"/>
      <c r="E34" s="12" t="s">
        <v>147</v>
      </c>
      <c r="F34" s="12" t="s">
        <v>148</v>
      </c>
      <c r="G34" s="13">
        <v>13561</v>
      </c>
      <c r="H34" s="14">
        <v>205676</v>
      </c>
      <c r="I34" s="14">
        <v>76353</v>
      </c>
      <c r="J34" s="14">
        <f t="shared" si="1"/>
        <v>282029</v>
      </c>
      <c r="K34" s="15" t="s">
        <v>435</v>
      </c>
      <c r="L34" s="14"/>
      <c r="M34" s="16">
        <v>42736</v>
      </c>
    </row>
    <row r="35" spans="1:14" x14ac:dyDescent="0.25">
      <c r="A35" s="12" t="s">
        <v>149</v>
      </c>
      <c r="B35" s="12" t="s">
        <v>150</v>
      </c>
      <c r="C35" s="12" t="s">
        <v>16</v>
      </c>
      <c r="D35" s="12"/>
      <c r="E35" s="12" t="s">
        <v>151</v>
      </c>
      <c r="F35" s="12" t="s">
        <v>152</v>
      </c>
      <c r="G35" s="13">
        <v>85653</v>
      </c>
      <c r="H35" s="14">
        <v>278392</v>
      </c>
      <c r="I35" s="14">
        <v>107382</v>
      </c>
      <c r="J35" s="14">
        <f t="shared" si="1"/>
        <v>385774</v>
      </c>
      <c r="K35" s="15" t="s">
        <v>438</v>
      </c>
      <c r="L35" s="14"/>
      <c r="M35" s="16">
        <v>44197</v>
      </c>
    </row>
    <row r="36" spans="1:14" x14ac:dyDescent="0.25">
      <c r="A36" s="7" t="s">
        <v>153</v>
      </c>
      <c r="B36" s="7" t="s">
        <v>154</v>
      </c>
      <c r="C36" s="7" t="s">
        <v>16</v>
      </c>
      <c r="D36" s="7"/>
      <c r="E36" s="7" t="s">
        <v>155</v>
      </c>
      <c r="F36" s="7" t="s">
        <v>156</v>
      </c>
      <c r="G36" s="8">
        <v>19014</v>
      </c>
      <c r="H36" s="9">
        <v>270000</v>
      </c>
      <c r="I36" s="9">
        <v>39893</v>
      </c>
      <c r="J36" s="9">
        <f t="shared" si="1"/>
        <v>309893</v>
      </c>
      <c r="K36" s="11" t="s">
        <v>437</v>
      </c>
      <c r="L36" s="9"/>
      <c r="M36" s="10">
        <v>45992</v>
      </c>
      <c r="N36" s="2" t="s">
        <v>450</v>
      </c>
    </row>
    <row r="37" spans="1:14" x14ac:dyDescent="0.25">
      <c r="A37" s="7" t="s">
        <v>157</v>
      </c>
      <c r="B37" s="27" t="s">
        <v>446</v>
      </c>
      <c r="C37" s="7" t="s">
        <v>16</v>
      </c>
      <c r="D37" s="7"/>
      <c r="E37" s="7"/>
      <c r="F37" s="7" t="s">
        <v>158</v>
      </c>
      <c r="G37" s="8">
        <v>1746</v>
      </c>
      <c r="H37" s="9">
        <v>200000</v>
      </c>
      <c r="I37" s="9">
        <v>30620</v>
      </c>
      <c r="J37" s="9">
        <f t="shared" si="1"/>
        <v>230620</v>
      </c>
      <c r="K37" s="11" t="s">
        <v>445</v>
      </c>
      <c r="L37" s="9"/>
      <c r="M37" s="10">
        <v>45901</v>
      </c>
      <c r="N37" s="2" t="s">
        <v>450</v>
      </c>
    </row>
    <row r="38" spans="1:14" x14ac:dyDescent="0.25">
      <c r="A38" s="12" t="s">
        <v>159</v>
      </c>
      <c r="B38" s="12" t="s">
        <v>160</v>
      </c>
      <c r="C38" s="12" t="s">
        <v>16</v>
      </c>
      <c r="D38" s="12" t="s">
        <v>161</v>
      </c>
      <c r="E38" s="12" t="s">
        <v>162</v>
      </c>
      <c r="F38" s="12" t="s">
        <v>163</v>
      </c>
      <c r="G38" s="13">
        <v>53051</v>
      </c>
      <c r="H38" s="14">
        <v>259452</v>
      </c>
      <c r="I38" s="14">
        <v>73919</v>
      </c>
      <c r="J38" s="14">
        <f t="shared" si="1"/>
        <v>333371</v>
      </c>
      <c r="K38" s="15" t="s">
        <v>440</v>
      </c>
      <c r="L38" s="14"/>
      <c r="M38" s="16">
        <v>43009</v>
      </c>
    </row>
    <row r="39" spans="1:14" x14ac:dyDescent="0.25">
      <c r="A39" s="12" t="s">
        <v>164</v>
      </c>
      <c r="B39" s="12" t="s">
        <v>165</v>
      </c>
      <c r="C39" s="12" t="s">
        <v>16</v>
      </c>
      <c r="D39" s="12" t="s">
        <v>166</v>
      </c>
      <c r="E39" s="12" t="s">
        <v>167</v>
      </c>
      <c r="F39" s="12" t="s">
        <v>168</v>
      </c>
      <c r="G39" s="13">
        <v>431</v>
      </c>
      <c r="H39" s="14">
        <v>339021</v>
      </c>
      <c r="I39" s="14">
        <v>115180</v>
      </c>
      <c r="J39" s="14">
        <f t="shared" si="1"/>
        <v>454201</v>
      </c>
      <c r="K39" s="15" t="s">
        <v>440</v>
      </c>
      <c r="L39" s="14"/>
      <c r="M39" s="16">
        <v>44378</v>
      </c>
    </row>
    <row r="40" spans="1:14" x14ac:dyDescent="0.25">
      <c r="A40" s="12" t="s">
        <v>169</v>
      </c>
      <c r="B40" s="12" t="s">
        <v>170</v>
      </c>
      <c r="C40" s="12" t="s">
        <v>16</v>
      </c>
      <c r="D40" s="12" t="s">
        <v>171</v>
      </c>
      <c r="E40" s="12" t="s">
        <v>172</v>
      </c>
      <c r="F40" s="12" t="s">
        <v>173</v>
      </c>
      <c r="G40" s="13">
        <v>106305</v>
      </c>
      <c r="H40" s="14">
        <v>352447</v>
      </c>
      <c r="I40" s="14">
        <v>0</v>
      </c>
      <c r="J40" s="14">
        <f t="shared" si="1"/>
        <v>352447</v>
      </c>
      <c r="K40" s="15" t="s">
        <v>438</v>
      </c>
      <c r="L40" s="14"/>
      <c r="M40" s="16">
        <v>45658</v>
      </c>
    </row>
    <row r="41" spans="1:14" x14ac:dyDescent="0.25">
      <c r="A41" s="12" t="s">
        <v>174</v>
      </c>
      <c r="B41" s="12" t="s">
        <v>175</v>
      </c>
      <c r="C41" s="12" t="s">
        <v>16</v>
      </c>
      <c r="D41" s="12" t="s">
        <v>176</v>
      </c>
      <c r="E41" s="12" t="s">
        <v>177</v>
      </c>
      <c r="F41" s="12" t="s">
        <v>178</v>
      </c>
      <c r="G41" s="13">
        <v>1509</v>
      </c>
      <c r="H41" s="14">
        <v>245681</v>
      </c>
      <c r="I41" s="14">
        <v>59571</v>
      </c>
      <c r="J41" s="14">
        <f t="shared" si="1"/>
        <v>305252</v>
      </c>
      <c r="K41" s="15" t="s">
        <v>447</v>
      </c>
      <c r="L41" s="14"/>
      <c r="M41" s="16">
        <v>44562</v>
      </c>
    </row>
    <row r="42" spans="1:14" x14ac:dyDescent="0.25">
      <c r="A42" s="12" t="s">
        <v>179</v>
      </c>
      <c r="B42" s="12" t="s">
        <v>180</v>
      </c>
      <c r="C42" s="12" t="s">
        <v>16</v>
      </c>
      <c r="D42" s="12"/>
      <c r="E42" s="12" t="s">
        <v>181</v>
      </c>
      <c r="F42" s="12" t="s">
        <v>182</v>
      </c>
      <c r="G42" s="12">
        <v>20160</v>
      </c>
      <c r="H42" s="12">
        <v>230741</v>
      </c>
      <c r="I42" s="12">
        <v>30739</v>
      </c>
      <c r="J42" s="14">
        <f t="shared" si="1"/>
        <v>261480</v>
      </c>
      <c r="K42" s="15" t="s">
        <v>447</v>
      </c>
      <c r="L42" s="14"/>
      <c r="M42" s="16">
        <v>45108</v>
      </c>
    </row>
    <row r="43" spans="1:14" x14ac:dyDescent="0.25">
      <c r="A43" s="12" t="s">
        <v>183</v>
      </c>
      <c r="B43" s="12" t="s">
        <v>184</v>
      </c>
      <c r="C43" s="12" t="s">
        <v>16</v>
      </c>
      <c r="D43" s="12"/>
      <c r="E43" s="12" t="s">
        <v>185</v>
      </c>
      <c r="F43" s="12" t="s">
        <v>186</v>
      </c>
      <c r="G43" s="13">
        <v>5503</v>
      </c>
      <c r="H43" s="14">
        <v>151485</v>
      </c>
      <c r="I43" s="14">
        <v>45217</v>
      </c>
      <c r="J43" s="14">
        <f t="shared" si="1"/>
        <v>196702</v>
      </c>
      <c r="K43" s="15" t="s">
        <v>437</v>
      </c>
      <c r="L43" s="14"/>
      <c r="M43" s="16">
        <v>45544</v>
      </c>
    </row>
    <row r="44" spans="1:14" x14ac:dyDescent="0.25">
      <c r="A44" s="12" t="s">
        <v>187</v>
      </c>
      <c r="B44" s="12" t="s">
        <v>188</v>
      </c>
      <c r="C44" s="12" t="s">
        <v>16</v>
      </c>
      <c r="D44" s="12" t="s">
        <v>189</v>
      </c>
      <c r="E44" s="12" t="s">
        <v>190</v>
      </c>
      <c r="F44" s="12" t="s">
        <v>191</v>
      </c>
      <c r="G44" s="13">
        <v>48233</v>
      </c>
      <c r="H44" s="14">
        <v>258969</v>
      </c>
      <c r="I44" s="14">
        <v>84568</v>
      </c>
      <c r="J44" s="14">
        <f t="shared" si="1"/>
        <v>343537</v>
      </c>
      <c r="K44" s="15" t="s">
        <v>447</v>
      </c>
      <c r="L44" s="14"/>
      <c r="M44" s="16">
        <v>41518</v>
      </c>
    </row>
    <row r="45" spans="1:14" x14ac:dyDescent="0.25">
      <c r="A45" s="12" t="s">
        <v>192</v>
      </c>
      <c r="B45" s="12" t="s">
        <v>193</v>
      </c>
      <c r="C45" s="12" t="s">
        <v>16</v>
      </c>
      <c r="D45" s="12"/>
      <c r="E45" s="12" t="s">
        <v>194</v>
      </c>
      <c r="F45" s="12" t="s">
        <v>195</v>
      </c>
      <c r="G45" s="13">
        <v>37546</v>
      </c>
      <c r="H45" s="14">
        <v>253268</v>
      </c>
      <c r="I45" s="14">
        <v>46565</v>
      </c>
      <c r="J45" s="14">
        <f t="shared" si="1"/>
        <v>299833</v>
      </c>
      <c r="K45" s="15" t="s">
        <v>440</v>
      </c>
      <c r="L45" s="14"/>
      <c r="M45" s="16">
        <v>43466</v>
      </c>
    </row>
    <row r="46" spans="1:14" x14ac:dyDescent="0.25">
      <c r="A46" s="12" t="s">
        <v>196</v>
      </c>
      <c r="B46" s="12" t="s">
        <v>197</v>
      </c>
      <c r="C46" s="12" t="s">
        <v>16</v>
      </c>
      <c r="D46" s="12"/>
      <c r="E46" s="12" t="s">
        <v>198</v>
      </c>
      <c r="F46" s="12" t="s">
        <v>199</v>
      </c>
      <c r="G46" s="13">
        <v>32300</v>
      </c>
      <c r="H46" s="14">
        <v>224703</v>
      </c>
      <c r="I46" s="14">
        <v>31911</v>
      </c>
      <c r="J46" s="14">
        <f t="shared" si="1"/>
        <v>256614</v>
      </c>
      <c r="K46" s="15" t="s">
        <v>442</v>
      </c>
      <c r="L46" s="14"/>
      <c r="M46" s="16">
        <v>44896</v>
      </c>
    </row>
    <row r="47" spans="1:14" x14ac:dyDescent="0.25">
      <c r="A47" s="12" t="s">
        <v>200</v>
      </c>
      <c r="B47" s="12" t="s">
        <v>201</v>
      </c>
      <c r="C47" s="12" t="s">
        <v>16</v>
      </c>
      <c r="D47" s="12"/>
      <c r="E47" s="12" t="s">
        <v>202</v>
      </c>
      <c r="F47" s="12" t="s">
        <v>203</v>
      </c>
      <c r="G47" s="13">
        <v>80596</v>
      </c>
      <c r="H47" s="14">
        <v>302708</v>
      </c>
      <c r="I47" s="14">
        <v>56390</v>
      </c>
      <c r="J47" s="14">
        <f t="shared" si="1"/>
        <v>359098</v>
      </c>
      <c r="K47" s="15" t="s">
        <v>447</v>
      </c>
      <c r="L47" s="14"/>
      <c r="M47" s="16">
        <v>42983</v>
      </c>
    </row>
    <row r="48" spans="1:14" x14ac:dyDescent="0.25">
      <c r="A48" s="2" t="s">
        <v>204</v>
      </c>
      <c r="B48" s="2" t="s">
        <v>205</v>
      </c>
      <c r="C48" s="2" t="s">
        <v>16</v>
      </c>
      <c r="D48" s="2" t="s">
        <v>206</v>
      </c>
      <c r="F48" s="2" t="s">
        <v>207</v>
      </c>
      <c r="G48" s="21">
        <v>177768</v>
      </c>
      <c r="H48" s="22">
        <v>287915</v>
      </c>
      <c r="I48" s="22">
        <v>81894</v>
      </c>
      <c r="J48" s="22">
        <f t="shared" si="1"/>
        <v>369809</v>
      </c>
      <c r="K48" s="23" t="s">
        <v>437</v>
      </c>
      <c r="L48" s="22"/>
      <c r="M48" s="24">
        <v>45474</v>
      </c>
    </row>
    <row r="49" spans="1:14" x14ac:dyDescent="0.25">
      <c r="A49" s="7" t="s">
        <v>208</v>
      </c>
      <c r="B49" s="7" t="s">
        <v>209</v>
      </c>
      <c r="C49" s="7" t="s">
        <v>209</v>
      </c>
      <c r="D49" s="7" t="s">
        <v>210</v>
      </c>
      <c r="E49" s="7"/>
      <c r="F49" s="7" t="s">
        <v>211</v>
      </c>
      <c r="G49" s="8">
        <v>30860</v>
      </c>
      <c r="H49" s="9">
        <v>254576</v>
      </c>
      <c r="I49" s="9">
        <v>40992</v>
      </c>
      <c r="J49" s="9">
        <f t="shared" si="1"/>
        <v>295568</v>
      </c>
      <c r="K49" s="9"/>
      <c r="L49" s="9"/>
      <c r="M49" s="10"/>
    </row>
    <row r="50" spans="1:14" x14ac:dyDescent="0.25">
      <c r="A50" s="12" t="s">
        <v>212</v>
      </c>
      <c r="B50" s="12" t="s">
        <v>213</v>
      </c>
      <c r="C50" s="12" t="s">
        <v>16</v>
      </c>
      <c r="D50" s="12"/>
      <c r="E50" s="12"/>
      <c r="F50" s="12" t="s">
        <v>214</v>
      </c>
      <c r="G50" s="13">
        <v>20407</v>
      </c>
      <c r="H50" s="14">
        <v>240000</v>
      </c>
      <c r="I50" s="14">
        <v>33001</v>
      </c>
      <c r="J50" s="14">
        <f t="shared" si="1"/>
        <v>273001</v>
      </c>
      <c r="K50" s="15" t="s">
        <v>437</v>
      </c>
      <c r="L50" s="14"/>
      <c r="M50" s="16">
        <v>45384</v>
      </c>
    </row>
    <row r="51" spans="1:14" x14ac:dyDescent="0.25">
      <c r="A51" s="12" t="s">
        <v>215</v>
      </c>
      <c r="B51" s="12" t="s">
        <v>216</v>
      </c>
      <c r="C51" s="12" t="s">
        <v>16</v>
      </c>
      <c r="D51" s="12" t="s">
        <v>217</v>
      </c>
      <c r="E51" s="12"/>
      <c r="F51" s="12" t="s">
        <v>218</v>
      </c>
      <c r="G51" s="13">
        <v>462561</v>
      </c>
      <c r="H51" s="14">
        <v>350562</v>
      </c>
      <c r="I51" s="14">
        <v>148011</v>
      </c>
      <c r="J51" s="14">
        <f t="shared" si="1"/>
        <v>498573</v>
      </c>
      <c r="K51" s="15" t="s">
        <v>435</v>
      </c>
      <c r="L51" s="14"/>
      <c r="M51" s="16">
        <v>43935</v>
      </c>
    </row>
    <row r="52" spans="1:14" x14ac:dyDescent="0.25">
      <c r="A52" s="17" t="s">
        <v>219</v>
      </c>
      <c r="B52" s="17" t="s">
        <v>220</v>
      </c>
      <c r="C52" s="17" t="s">
        <v>16</v>
      </c>
      <c r="D52" s="17" t="s">
        <v>452</v>
      </c>
      <c r="E52" s="17" t="s">
        <v>221</v>
      </c>
      <c r="F52" s="17" t="s">
        <v>222</v>
      </c>
      <c r="G52" s="18">
        <v>3835263</v>
      </c>
      <c r="H52" s="19">
        <v>407194</v>
      </c>
      <c r="I52" s="19">
        <v>58080</v>
      </c>
      <c r="J52" s="19">
        <f t="shared" si="1"/>
        <v>465274</v>
      </c>
      <c r="K52" s="15" t="s">
        <v>448</v>
      </c>
      <c r="L52" s="20"/>
      <c r="M52" s="16">
        <v>44381</v>
      </c>
    </row>
    <row r="53" spans="1:14" x14ac:dyDescent="0.25">
      <c r="A53" s="7" t="s">
        <v>223</v>
      </c>
      <c r="B53" s="7" t="s">
        <v>224</v>
      </c>
      <c r="C53" s="7" t="s">
        <v>16</v>
      </c>
      <c r="D53" s="7"/>
      <c r="E53" s="7"/>
      <c r="F53" s="7" t="s">
        <v>225</v>
      </c>
      <c r="G53" s="8">
        <v>66660</v>
      </c>
      <c r="H53" s="9">
        <v>310000</v>
      </c>
      <c r="I53" s="9">
        <v>74014</v>
      </c>
      <c r="J53" s="9">
        <f t="shared" si="1"/>
        <v>384014</v>
      </c>
      <c r="K53" s="11" t="s">
        <v>438</v>
      </c>
      <c r="L53" s="9"/>
      <c r="M53" s="10">
        <v>46037</v>
      </c>
      <c r="N53" s="2" t="s">
        <v>450</v>
      </c>
    </row>
    <row r="54" spans="1:14" x14ac:dyDescent="0.25">
      <c r="A54" s="7" t="s">
        <v>226</v>
      </c>
      <c r="B54" s="7" t="s">
        <v>227</v>
      </c>
      <c r="C54" s="7" t="s">
        <v>16</v>
      </c>
      <c r="D54" s="7" t="s">
        <v>229</v>
      </c>
      <c r="E54" s="7" t="s">
        <v>230</v>
      </c>
      <c r="F54" s="7" t="s">
        <v>231</v>
      </c>
      <c r="G54" s="8">
        <v>10604</v>
      </c>
      <c r="H54" s="9">
        <v>310000</v>
      </c>
      <c r="I54" s="9">
        <v>61109</v>
      </c>
      <c r="J54" s="9">
        <f t="shared" si="1"/>
        <v>371109</v>
      </c>
      <c r="K54" s="11" t="s">
        <v>440</v>
      </c>
      <c r="L54" s="9"/>
      <c r="M54" s="10">
        <v>46082</v>
      </c>
      <c r="N54" s="2" t="s">
        <v>450</v>
      </c>
    </row>
    <row r="55" spans="1:14" x14ac:dyDescent="0.25">
      <c r="A55" s="12" t="s">
        <v>232</v>
      </c>
      <c r="B55" s="12" t="s">
        <v>233</v>
      </c>
      <c r="C55" s="12" t="s">
        <v>16</v>
      </c>
      <c r="D55" s="12"/>
      <c r="E55" s="12" t="s">
        <v>234</v>
      </c>
      <c r="F55" s="12" t="s">
        <v>235</v>
      </c>
      <c r="G55" s="13">
        <v>34051</v>
      </c>
      <c r="H55" s="14">
        <v>207419</v>
      </c>
      <c r="I55" s="14">
        <v>34184</v>
      </c>
      <c r="J55" s="14">
        <f t="shared" si="1"/>
        <v>241603</v>
      </c>
      <c r="K55" s="15" t="s">
        <v>447</v>
      </c>
      <c r="L55" s="14"/>
      <c r="M55" s="16">
        <v>45597</v>
      </c>
    </row>
    <row r="56" spans="1:14" x14ac:dyDescent="0.25">
      <c r="A56" s="12" t="s">
        <v>236</v>
      </c>
      <c r="B56" s="12" t="s">
        <v>237</v>
      </c>
      <c r="C56" s="12" t="s">
        <v>16</v>
      </c>
      <c r="D56" s="12" t="s">
        <v>238</v>
      </c>
      <c r="E56" s="12" t="s">
        <v>239</v>
      </c>
      <c r="F56" s="12" t="s">
        <v>240</v>
      </c>
      <c r="G56" s="13">
        <v>24496</v>
      </c>
      <c r="H56" s="14">
        <v>209613</v>
      </c>
      <c r="I56" s="14">
        <v>77638</v>
      </c>
      <c r="J56" s="14">
        <f t="shared" si="1"/>
        <v>287251</v>
      </c>
      <c r="K56" s="15" t="s">
        <v>447</v>
      </c>
      <c r="L56" s="14"/>
      <c r="M56" s="16">
        <v>43586</v>
      </c>
    </row>
    <row r="57" spans="1:14" x14ac:dyDescent="0.25">
      <c r="A57" s="12" t="s">
        <v>241</v>
      </c>
      <c r="B57" s="12" t="s">
        <v>242</v>
      </c>
      <c r="C57" s="12" t="s">
        <v>16</v>
      </c>
      <c r="D57" s="12" t="s">
        <v>243</v>
      </c>
      <c r="E57" s="12" t="s">
        <v>244</v>
      </c>
      <c r="F57" s="12" t="s">
        <v>245</v>
      </c>
      <c r="G57" s="13">
        <v>38920</v>
      </c>
      <c r="H57" s="14">
        <v>250956</v>
      </c>
      <c r="I57" s="14">
        <v>44449</v>
      </c>
      <c r="J57" s="14">
        <f t="shared" si="1"/>
        <v>295405</v>
      </c>
      <c r="K57" s="15" t="s">
        <v>440</v>
      </c>
      <c r="L57" s="14"/>
      <c r="M57" s="16">
        <v>43739</v>
      </c>
    </row>
    <row r="58" spans="1:14" x14ac:dyDescent="0.25">
      <c r="A58" s="12" t="s">
        <v>246</v>
      </c>
      <c r="B58" s="12" t="s">
        <v>247</v>
      </c>
      <c r="C58" s="12" t="s">
        <v>16</v>
      </c>
      <c r="D58" s="12"/>
      <c r="E58" s="12" t="s">
        <v>248</v>
      </c>
      <c r="F58" s="12" t="s">
        <v>249</v>
      </c>
      <c r="G58" s="13">
        <v>62732</v>
      </c>
      <c r="H58" s="14">
        <v>274990</v>
      </c>
      <c r="I58" s="14">
        <v>65415</v>
      </c>
      <c r="J58" s="14">
        <f t="shared" si="1"/>
        <v>340405</v>
      </c>
      <c r="K58" s="15" t="s">
        <v>440</v>
      </c>
      <c r="L58" s="14"/>
      <c r="M58" s="16">
        <v>45231</v>
      </c>
    </row>
    <row r="59" spans="1:14" x14ac:dyDescent="0.25">
      <c r="A59" s="12" t="s">
        <v>250</v>
      </c>
      <c r="B59" s="12" t="s">
        <v>251</v>
      </c>
      <c r="C59" s="12" t="s">
        <v>16</v>
      </c>
      <c r="D59" s="12" t="s">
        <v>252</v>
      </c>
      <c r="E59" s="12" t="s">
        <v>253</v>
      </c>
      <c r="F59" s="12" t="s">
        <v>254</v>
      </c>
      <c r="G59" s="13">
        <v>59269</v>
      </c>
      <c r="H59" s="14">
        <v>269784</v>
      </c>
      <c r="I59" s="14">
        <v>41217</v>
      </c>
      <c r="J59" s="14">
        <f t="shared" si="1"/>
        <v>311001</v>
      </c>
      <c r="K59" s="15" t="s">
        <v>435</v>
      </c>
      <c r="L59" s="14"/>
      <c r="M59" s="16">
        <v>45261</v>
      </c>
    </row>
    <row r="60" spans="1:14" x14ac:dyDescent="0.25">
      <c r="A60" s="12" t="s">
        <v>255</v>
      </c>
      <c r="B60" s="12" t="s">
        <v>256</v>
      </c>
      <c r="C60" s="12" t="s">
        <v>16</v>
      </c>
      <c r="D60" s="12" t="s">
        <v>257</v>
      </c>
      <c r="E60" s="12" t="s">
        <v>258</v>
      </c>
      <c r="F60" s="12" t="s">
        <v>259</v>
      </c>
      <c r="G60" s="13">
        <v>101075</v>
      </c>
      <c r="H60" s="14">
        <v>348562</v>
      </c>
      <c r="I60" s="14">
        <v>181876</v>
      </c>
      <c r="J60" s="14">
        <f t="shared" si="1"/>
        <v>530438</v>
      </c>
      <c r="K60" s="15" t="s">
        <v>435</v>
      </c>
      <c r="L60" s="14"/>
      <c r="M60" s="16">
        <v>43132</v>
      </c>
    </row>
    <row r="61" spans="1:14" x14ac:dyDescent="0.25">
      <c r="A61" s="7" t="s">
        <v>260</v>
      </c>
      <c r="B61" s="7" t="s">
        <v>209</v>
      </c>
      <c r="C61" s="7" t="s">
        <v>274</v>
      </c>
      <c r="D61" s="7" t="s">
        <v>261</v>
      </c>
      <c r="E61" s="7" t="s">
        <v>262</v>
      </c>
      <c r="F61" s="7" t="s">
        <v>263</v>
      </c>
      <c r="G61" s="8">
        <v>167097</v>
      </c>
      <c r="H61" s="9">
        <v>336640</v>
      </c>
      <c r="I61" s="9">
        <v>57644</v>
      </c>
      <c r="J61" s="9">
        <f t="shared" si="1"/>
        <v>394284</v>
      </c>
      <c r="K61" s="9"/>
      <c r="L61" s="9"/>
      <c r="M61" s="10"/>
    </row>
    <row r="62" spans="1:14" x14ac:dyDescent="0.25">
      <c r="A62" s="12" t="s">
        <v>264</v>
      </c>
      <c r="B62" s="12" t="s">
        <v>265</v>
      </c>
      <c r="C62" s="12" t="s">
        <v>16</v>
      </c>
      <c r="D62" s="12" t="s">
        <v>266</v>
      </c>
      <c r="E62" s="12" t="s">
        <v>267</v>
      </c>
      <c r="F62" s="12" t="s">
        <v>268</v>
      </c>
      <c r="G62" s="13">
        <v>12999</v>
      </c>
      <c r="H62" s="14">
        <v>202498</v>
      </c>
      <c r="I62" s="14">
        <v>14525</v>
      </c>
      <c r="J62" s="14">
        <f t="shared" si="1"/>
        <v>217023</v>
      </c>
      <c r="K62" s="14"/>
      <c r="L62" s="14"/>
      <c r="M62" s="16">
        <v>45474</v>
      </c>
    </row>
    <row r="63" spans="1:14" x14ac:dyDescent="0.25">
      <c r="A63" s="12" t="s">
        <v>269</v>
      </c>
      <c r="B63" s="12" t="s">
        <v>270</v>
      </c>
      <c r="C63" s="12" t="s">
        <v>16</v>
      </c>
      <c r="D63" s="12"/>
      <c r="E63" s="12" t="s">
        <v>271</v>
      </c>
      <c r="F63" s="12" t="s">
        <v>272</v>
      </c>
      <c r="G63" s="13">
        <v>52371</v>
      </c>
      <c r="H63" s="14">
        <v>257220</v>
      </c>
      <c r="I63" s="14">
        <v>94515</v>
      </c>
      <c r="J63" s="14">
        <f t="shared" si="1"/>
        <v>351735</v>
      </c>
      <c r="K63" s="15" t="s">
        <v>442</v>
      </c>
      <c r="L63" s="14"/>
      <c r="M63" s="16">
        <v>42278</v>
      </c>
    </row>
    <row r="64" spans="1:14" x14ac:dyDescent="0.25">
      <c r="A64" s="7" t="s">
        <v>273</v>
      </c>
      <c r="B64" s="7" t="s">
        <v>449</v>
      </c>
      <c r="C64" s="7" t="s">
        <v>274</v>
      </c>
      <c r="D64" s="7" t="s">
        <v>275</v>
      </c>
      <c r="E64" s="7"/>
      <c r="F64" s="7" t="s">
        <v>276</v>
      </c>
      <c r="G64" s="8">
        <v>140631</v>
      </c>
      <c r="H64" s="9">
        <v>383814</v>
      </c>
      <c r="I64" s="9">
        <v>62417</v>
      </c>
      <c r="J64" s="9">
        <f t="shared" si="1"/>
        <v>446231</v>
      </c>
      <c r="K64" s="11" t="s">
        <v>442</v>
      </c>
      <c r="L64" s="9"/>
      <c r="M64" s="10">
        <v>44743</v>
      </c>
    </row>
    <row r="65" spans="1:103" x14ac:dyDescent="0.25">
      <c r="A65" s="12" t="s">
        <v>277</v>
      </c>
      <c r="B65" s="12" t="s">
        <v>278</v>
      </c>
      <c r="C65" s="12" t="s">
        <v>16</v>
      </c>
      <c r="D65" s="12"/>
      <c r="E65" s="12" t="s">
        <v>279</v>
      </c>
      <c r="F65" s="12" t="s">
        <v>280</v>
      </c>
      <c r="G65" s="13">
        <v>60858</v>
      </c>
      <c r="H65" s="14">
        <v>303000</v>
      </c>
      <c r="I65" s="14">
        <v>50762</v>
      </c>
      <c r="J65" s="14">
        <f t="shared" si="1"/>
        <v>353762</v>
      </c>
      <c r="K65" s="15" t="s">
        <v>440</v>
      </c>
      <c r="L65" s="14"/>
      <c r="M65" s="16">
        <v>43586</v>
      </c>
    </row>
    <row r="66" spans="1:103" x14ac:dyDescent="0.25">
      <c r="A66" s="12" t="s">
        <v>281</v>
      </c>
      <c r="B66" s="12" t="s">
        <v>282</v>
      </c>
      <c r="C66" s="12" t="s">
        <v>16</v>
      </c>
      <c r="D66" s="12" t="s">
        <v>283</v>
      </c>
      <c r="E66" s="12"/>
      <c r="F66" s="12" t="s">
        <v>284</v>
      </c>
      <c r="G66" s="13">
        <v>153042</v>
      </c>
      <c r="H66" s="14">
        <v>339250</v>
      </c>
      <c r="I66" s="14">
        <v>51928</v>
      </c>
      <c r="J66" s="14">
        <f t="shared" si="1"/>
        <v>391178</v>
      </c>
      <c r="K66" s="15" t="s">
        <v>437</v>
      </c>
      <c r="L66" s="14"/>
      <c r="M66" s="16">
        <v>45327</v>
      </c>
    </row>
    <row r="67" spans="1:103" x14ac:dyDescent="0.25">
      <c r="A67" s="12" t="s">
        <v>285</v>
      </c>
      <c r="B67" s="12" t="s">
        <v>286</v>
      </c>
      <c r="C67" s="12" t="s">
        <v>16</v>
      </c>
      <c r="D67" s="12" t="s">
        <v>287</v>
      </c>
      <c r="E67" s="12" t="s">
        <v>288</v>
      </c>
      <c r="F67" s="12" t="s">
        <v>289</v>
      </c>
      <c r="G67" s="13">
        <v>40727</v>
      </c>
      <c r="H67" s="14">
        <v>252438</v>
      </c>
      <c r="I67" s="14">
        <v>26685</v>
      </c>
      <c r="J67" s="14">
        <f t="shared" si="1"/>
        <v>279123</v>
      </c>
      <c r="K67" s="15" t="s">
        <v>442</v>
      </c>
      <c r="L67" s="14"/>
      <c r="M67" s="16">
        <v>43862</v>
      </c>
    </row>
    <row r="68" spans="1:103" x14ac:dyDescent="0.25">
      <c r="A68" s="12" t="s">
        <v>290</v>
      </c>
      <c r="B68" s="12" t="s">
        <v>291</v>
      </c>
      <c r="C68" s="12" t="s">
        <v>16</v>
      </c>
      <c r="D68" s="12"/>
      <c r="E68" s="12" t="s">
        <v>292</v>
      </c>
      <c r="F68" s="12" t="s">
        <v>293</v>
      </c>
      <c r="G68" s="13">
        <v>68091</v>
      </c>
      <c r="H68" s="14">
        <v>279423</v>
      </c>
      <c r="I68" s="14">
        <v>81476</v>
      </c>
      <c r="J68" s="14">
        <f t="shared" si="1"/>
        <v>360899</v>
      </c>
      <c r="K68" s="15" t="s">
        <v>434</v>
      </c>
      <c r="L68" s="14"/>
      <c r="M68" s="16">
        <v>44516</v>
      </c>
    </row>
    <row r="69" spans="1:103" x14ac:dyDescent="0.25">
      <c r="A69" s="12" t="s">
        <v>294</v>
      </c>
      <c r="B69" s="12" t="s">
        <v>295</v>
      </c>
      <c r="C69" s="12" t="s">
        <v>16</v>
      </c>
      <c r="D69" s="12"/>
      <c r="E69" s="12" t="s">
        <v>296</v>
      </c>
      <c r="F69" s="12" t="s">
        <v>297</v>
      </c>
      <c r="G69" s="13">
        <v>1677</v>
      </c>
      <c r="H69" s="14">
        <v>190729</v>
      </c>
      <c r="I69" s="14">
        <v>36237</v>
      </c>
      <c r="J69" s="14">
        <f t="shared" si="1"/>
        <v>226966</v>
      </c>
      <c r="K69" s="15" t="s">
        <v>440</v>
      </c>
      <c r="L69" s="14"/>
      <c r="M69" s="16">
        <v>45231</v>
      </c>
    </row>
    <row r="70" spans="1:103" x14ac:dyDescent="0.25">
      <c r="A70" s="12" t="s">
        <v>298</v>
      </c>
      <c r="B70" s="12" t="s">
        <v>299</v>
      </c>
      <c r="C70" s="12" t="s">
        <v>16</v>
      </c>
      <c r="D70" s="12"/>
      <c r="E70" s="12" t="s">
        <v>300</v>
      </c>
      <c r="F70" s="12" t="s">
        <v>301</v>
      </c>
      <c r="G70" s="13">
        <v>8545</v>
      </c>
      <c r="H70" s="14">
        <v>219324</v>
      </c>
      <c r="I70" s="14">
        <v>47595</v>
      </c>
      <c r="J70" s="14">
        <f t="shared" si="1"/>
        <v>266919</v>
      </c>
      <c r="K70" s="15" t="s">
        <v>434</v>
      </c>
      <c r="L70" s="14"/>
      <c r="M70" s="16">
        <v>43678</v>
      </c>
    </row>
    <row r="71" spans="1:103" x14ac:dyDescent="0.25">
      <c r="A71" s="12" t="s">
        <v>302</v>
      </c>
      <c r="B71" s="12" t="s">
        <v>303</v>
      </c>
      <c r="C71" s="12" t="s">
        <v>16</v>
      </c>
      <c r="D71" s="12" t="s">
        <v>304</v>
      </c>
      <c r="E71" s="12" t="s">
        <v>305</v>
      </c>
      <c r="F71" s="12" t="s">
        <v>306</v>
      </c>
      <c r="G71" s="13">
        <v>50501</v>
      </c>
      <c r="H71" s="14">
        <v>235507</v>
      </c>
      <c r="I71" s="14">
        <v>11697</v>
      </c>
      <c r="J71" s="14">
        <f t="shared" si="1"/>
        <v>247204</v>
      </c>
      <c r="K71" s="15" t="s">
        <v>440</v>
      </c>
      <c r="L71" s="14"/>
      <c r="M71" s="16">
        <v>44682</v>
      </c>
    </row>
    <row r="72" spans="1:103" x14ac:dyDescent="0.25">
      <c r="A72" s="12" t="s">
        <v>307</v>
      </c>
      <c r="B72" s="12" t="s">
        <v>308</v>
      </c>
      <c r="C72" s="12" t="s">
        <v>16</v>
      </c>
      <c r="D72" s="12"/>
      <c r="E72" s="12" t="s">
        <v>309</v>
      </c>
      <c r="F72" s="12" t="s">
        <v>310</v>
      </c>
      <c r="G72" s="13">
        <v>34209</v>
      </c>
      <c r="H72" s="14">
        <v>238491</v>
      </c>
      <c r="I72" s="14">
        <v>47891</v>
      </c>
      <c r="J72" s="14">
        <f t="shared" si="1"/>
        <v>286382</v>
      </c>
      <c r="K72" s="15" t="s">
        <v>434</v>
      </c>
      <c r="L72" s="14"/>
      <c r="M72" s="16">
        <v>45573</v>
      </c>
    </row>
    <row r="73" spans="1:103" s="7" customFormat="1" x14ac:dyDescent="0.25">
      <c r="A73" s="7" t="s">
        <v>311</v>
      </c>
      <c r="B73" s="7" t="s">
        <v>312</v>
      </c>
      <c r="C73" s="7" t="s">
        <v>16</v>
      </c>
      <c r="D73" s="7" t="s">
        <v>313</v>
      </c>
      <c r="E73" s="7" t="s">
        <v>314</v>
      </c>
      <c r="F73" s="7" t="s">
        <v>315</v>
      </c>
      <c r="G73" s="8">
        <v>23692</v>
      </c>
      <c r="H73" s="9">
        <v>269452</v>
      </c>
      <c r="I73" s="9">
        <v>85548</v>
      </c>
      <c r="J73" s="9">
        <f t="shared" si="1"/>
        <v>355000</v>
      </c>
      <c r="K73" s="11" t="s">
        <v>440</v>
      </c>
      <c r="L73" s="9"/>
      <c r="M73" s="10">
        <v>45931</v>
      </c>
      <c r="N73" s="2" t="s">
        <v>450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</row>
    <row r="74" spans="1:103" x14ac:dyDescent="0.25">
      <c r="A74" s="12" t="s">
        <v>316</v>
      </c>
      <c r="B74" s="12" t="s">
        <v>317</v>
      </c>
      <c r="C74" s="12" t="s">
        <v>16</v>
      </c>
      <c r="D74" s="12"/>
      <c r="E74" s="12" t="s">
        <v>318</v>
      </c>
      <c r="F74" s="12" t="s">
        <v>319</v>
      </c>
      <c r="G74" s="13">
        <v>38953</v>
      </c>
      <c r="H74" s="14">
        <v>255331</v>
      </c>
      <c r="I74" s="14">
        <v>47227</v>
      </c>
      <c r="J74" s="14">
        <f t="shared" si="1"/>
        <v>302558</v>
      </c>
      <c r="K74" s="15" t="s">
        <v>437</v>
      </c>
      <c r="L74" s="14"/>
      <c r="M74" s="16">
        <v>43132</v>
      </c>
    </row>
    <row r="75" spans="1:103" x14ac:dyDescent="0.25">
      <c r="A75" s="12" t="s">
        <v>320</v>
      </c>
      <c r="B75" s="12" t="s">
        <v>321</v>
      </c>
      <c r="C75" s="12" t="s">
        <v>16</v>
      </c>
      <c r="D75" s="12"/>
      <c r="E75" s="12" t="s">
        <v>322</v>
      </c>
      <c r="F75" s="12" t="s">
        <v>323</v>
      </c>
      <c r="G75" s="13">
        <v>12330</v>
      </c>
      <c r="H75" s="14">
        <v>233918</v>
      </c>
      <c r="I75" s="14">
        <v>66930</v>
      </c>
      <c r="J75" s="14">
        <f t="shared" si="1"/>
        <v>300848</v>
      </c>
      <c r="K75" s="15" t="s">
        <v>437</v>
      </c>
      <c r="L75" s="14"/>
      <c r="M75" s="16">
        <v>45108</v>
      </c>
    </row>
    <row r="76" spans="1:103" x14ac:dyDescent="0.25">
      <c r="A76" s="12" t="s">
        <v>324</v>
      </c>
      <c r="B76" s="12" t="s">
        <v>325</v>
      </c>
      <c r="C76" s="12" t="s">
        <v>16</v>
      </c>
      <c r="D76" s="12" t="s">
        <v>326</v>
      </c>
      <c r="E76" s="12" t="s">
        <v>327</v>
      </c>
      <c r="F76" s="12" t="s">
        <v>328</v>
      </c>
      <c r="G76" s="13">
        <v>232377</v>
      </c>
      <c r="H76" s="14">
        <v>354328</v>
      </c>
      <c r="I76" s="14">
        <v>102873</v>
      </c>
      <c r="J76" s="14">
        <f t="shared" si="1"/>
        <v>457201</v>
      </c>
      <c r="K76" s="15" t="s">
        <v>435</v>
      </c>
      <c r="L76" s="14"/>
      <c r="M76" s="16">
        <v>41244</v>
      </c>
    </row>
    <row r="77" spans="1:103" x14ac:dyDescent="0.25">
      <c r="A77" s="12" t="s">
        <v>329</v>
      </c>
      <c r="B77" s="12" t="s">
        <v>330</v>
      </c>
      <c r="C77" s="12" t="s">
        <v>16</v>
      </c>
      <c r="D77" s="12" t="s">
        <v>331</v>
      </c>
      <c r="E77" s="12" t="s">
        <v>332</v>
      </c>
      <c r="F77" s="12" t="s">
        <v>333</v>
      </c>
      <c r="G77" s="13">
        <v>18680</v>
      </c>
      <c r="H77" s="14">
        <v>323062</v>
      </c>
      <c r="I77" s="14">
        <v>88624</v>
      </c>
      <c r="J77" s="14">
        <f t="shared" si="1"/>
        <v>411686</v>
      </c>
      <c r="K77" s="15" t="s">
        <v>434</v>
      </c>
      <c r="L77" s="14"/>
      <c r="M77" s="16">
        <v>44656</v>
      </c>
    </row>
    <row r="78" spans="1:103" s="7" customFormat="1" x14ac:dyDescent="0.25">
      <c r="A78" s="7" t="s">
        <v>334</v>
      </c>
      <c r="B78" s="7" t="s">
        <v>335</v>
      </c>
      <c r="C78" s="7" t="s">
        <v>16</v>
      </c>
      <c r="E78" s="7" t="s">
        <v>336</v>
      </c>
      <c r="F78" s="7" t="s">
        <v>337</v>
      </c>
      <c r="G78" s="8">
        <v>93212</v>
      </c>
      <c r="H78" s="9">
        <v>423026</v>
      </c>
      <c r="I78" s="9">
        <v>67446</v>
      </c>
      <c r="J78" s="9">
        <f t="shared" si="1"/>
        <v>490472</v>
      </c>
      <c r="K78" s="11" t="s">
        <v>434</v>
      </c>
      <c r="L78" s="9"/>
      <c r="M78" s="10">
        <v>45839</v>
      </c>
      <c r="N78" s="2" t="s">
        <v>450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</row>
    <row r="79" spans="1:103" s="7" customFormat="1" x14ac:dyDescent="0.25">
      <c r="A79" s="7" t="s">
        <v>338</v>
      </c>
      <c r="B79" s="7" t="s">
        <v>339</v>
      </c>
      <c r="C79" s="7" t="s">
        <v>16</v>
      </c>
      <c r="D79" s="7" t="s">
        <v>340</v>
      </c>
      <c r="E79" s="7" t="s">
        <v>341</v>
      </c>
      <c r="F79" s="7" t="s">
        <v>342</v>
      </c>
      <c r="G79" s="8">
        <v>10870</v>
      </c>
      <c r="H79" s="9">
        <v>192951</v>
      </c>
      <c r="I79" s="9">
        <v>52938</v>
      </c>
      <c r="J79" s="9">
        <f t="shared" si="1"/>
        <v>245889</v>
      </c>
      <c r="K79" s="11" t="s">
        <v>442</v>
      </c>
      <c r="L79" s="9"/>
      <c r="M79" s="10">
        <v>45839</v>
      </c>
      <c r="N79" s="2" t="s">
        <v>450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</row>
    <row r="80" spans="1:103" x14ac:dyDescent="0.25">
      <c r="A80" s="12" t="s">
        <v>343</v>
      </c>
      <c r="B80" s="12" t="s">
        <v>344</v>
      </c>
      <c r="C80" s="12" t="s">
        <v>16</v>
      </c>
      <c r="D80" s="12"/>
      <c r="E80" s="12" t="s">
        <v>345</v>
      </c>
      <c r="F80" s="12" t="s">
        <v>346</v>
      </c>
      <c r="G80" s="13">
        <v>11421</v>
      </c>
      <c r="H80" s="14">
        <v>263971</v>
      </c>
      <c r="I80" s="14">
        <v>65570</v>
      </c>
      <c r="J80" s="14">
        <f t="shared" si="1"/>
        <v>329541</v>
      </c>
      <c r="K80" s="15" t="s">
        <v>437</v>
      </c>
      <c r="L80" s="14"/>
      <c r="M80" s="16">
        <v>44910</v>
      </c>
    </row>
    <row r="81" spans="1:103" x14ac:dyDescent="0.25">
      <c r="A81" s="12" t="s">
        <v>347</v>
      </c>
      <c r="B81" s="12" t="s">
        <v>348</v>
      </c>
      <c r="C81" s="12" t="s">
        <v>16</v>
      </c>
      <c r="D81" s="12" t="s">
        <v>349</v>
      </c>
      <c r="E81" s="12" t="s">
        <v>350</v>
      </c>
      <c r="F81" s="12" t="s">
        <v>351</v>
      </c>
      <c r="G81" s="13">
        <v>19535</v>
      </c>
      <c r="H81" s="14">
        <v>198983</v>
      </c>
      <c r="I81" s="14">
        <v>26525</v>
      </c>
      <c r="J81" s="14">
        <f t="shared" si="1"/>
        <v>225508</v>
      </c>
      <c r="K81" s="15" t="s">
        <v>440</v>
      </c>
      <c r="L81" s="14"/>
      <c r="M81" s="16">
        <v>44950</v>
      </c>
    </row>
    <row r="82" spans="1:103" x14ac:dyDescent="0.25">
      <c r="A82" s="12" t="s">
        <v>352</v>
      </c>
      <c r="B82" s="12" t="s">
        <v>353</v>
      </c>
      <c r="C82" s="12" t="s">
        <v>16</v>
      </c>
      <c r="D82" s="12" t="s">
        <v>354</v>
      </c>
      <c r="E82" s="12" t="s">
        <v>355</v>
      </c>
      <c r="F82" s="12" t="s">
        <v>356</v>
      </c>
      <c r="G82" s="13">
        <v>92955</v>
      </c>
      <c r="H82" s="14">
        <v>295968</v>
      </c>
      <c r="I82" s="14">
        <v>101791</v>
      </c>
      <c r="J82" s="14">
        <f t="shared" si="1"/>
        <v>397759</v>
      </c>
      <c r="K82" s="15" t="s">
        <v>435</v>
      </c>
      <c r="L82" s="14"/>
      <c r="M82" s="16">
        <v>45261</v>
      </c>
    </row>
    <row r="83" spans="1:103" s="7" customFormat="1" x14ac:dyDescent="0.25">
      <c r="A83" s="7" t="s">
        <v>357</v>
      </c>
      <c r="B83" s="7" t="s">
        <v>358</v>
      </c>
      <c r="C83" s="7" t="s">
        <v>16</v>
      </c>
      <c r="D83" s="7" t="s">
        <v>359</v>
      </c>
      <c r="E83" s="7" t="s">
        <v>360</v>
      </c>
      <c r="F83" s="7" t="s">
        <v>361</v>
      </c>
      <c r="G83" s="8">
        <v>26287</v>
      </c>
      <c r="H83" s="9">
        <v>300000</v>
      </c>
      <c r="I83" s="9">
        <v>33362</v>
      </c>
      <c r="J83" s="9">
        <f t="shared" si="1"/>
        <v>333362</v>
      </c>
      <c r="K83" s="11" t="s">
        <v>440</v>
      </c>
      <c r="L83" s="9"/>
      <c r="M83" s="10">
        <v>45747</v>
      </c>
      <c r="N83" s="2" t="s">
        <v>450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</row>
    <row r="84" spans="1:103" x14ac:dyDescent="0.25">
      <c r="A84" s="12" t="s">
        <v>362</v>
      </c>
      <c r="B84" s="12" t="s">
        <v>363</v>
      </c>
      <c r="C84" s="12" t="s">
        <v>16</v>
      </c>
      <c r="D84" s="12" t="s">
        <v>364</v>
      </c>
      <c r="E84" s="12" t="s">
        <v>365</v>
      </c>
      <c r="F84" s="12" t="s">
        <v>366</v>
      </c>
      <c r="G84" s="13">
        <v>36322</v>
      </c>
      <c r="H84" s="14">
        <v>204379</v>
      </c>
      <c r="I84" s="14">
        <v>48252</v>
      </c>
      <c r="J84" s="14">
        <f t="shared" si="1"/>
        <v>252631</v>
      </c>
      <c r="K84" s="15" t="s">
        <v>442</v>
      </c>
      <c r="L84" s="14"/>
      <c r="M84" s="16">
        <v>41640</v>
      </c>
    </row>
    <row r="85" spans="1:103" x14ac:dyDescent="0.25">
      <c r="A85" s="12" t="s">
        <v>367</v>
      </c>
      <c r="B85" s="12" t="s">
        <v>368</v>
      </c>
      <c r="C85" s="12" t="s">
        <v>16</v>
      </c>
      <c r="D85" s="12" t="s">
        <v>369</v>
      </c>
      <c r="E85" s="12" t="s">
        <v>370</v>
      </c>
      <c r="F85" s="12" t="s">
        <v>371</v>
      </c>
      <c r="G85" s="13">
        <v>143261</v>
      </c>
      <c r="H85" s="14">
        <v>371868</v>
      </c>
      <c r="I85" s="14">
        <v>36461</v>
      </c>
      <c r="J85" s="14">
        <f t="shared" si="1"/>
        <v>408329</v>
      </c>
      <c r="K85" s="15" t="s">
        <v>434</v>
      </c>
      <c r="L85" s="14"/>
      <c r="M85" s="16">
        <v>44105</v>
      </c>
      <c r="N85" s="2" t="s">
        <v>451</v>
      </c>
    </row>
    <row r="86" spans="1:103" s="7" customFormat="1" x14ac:dyDescent="0.25">
      <c r="A86" s="7" t="s">
        <v>372</v>
      </c>
      <c r="B86" s="7" t="s">
        <v>373</v>
      </c>
      <c r="C86" s="7" t="s">
        <v>16</v>
      </c>
      <c r="D86" s="7" t="s">
        <v>374</v>
      </c>
      <c r="E86" s="7" t="s">
        <v>375</v>
      </c>
      <c r="F86" s="7" t="s">
        <v>376</v>
      </c>
      <c r="G86" s="8">
        <v>207</v>
      </c>
      <c r="H86" s="9">
        <v>357489</v>
      </c>
      <c r="I86" s="9">
        <v>31592</v>
      </c>
      <c r="J86" s="9">
        <f t="shared" si="1"/>
        <v>389081</v>
      </c>
      <c r="K86" s="11" t="s">
        <v>435</v>
      </c>
      <c r="L86" s="9"/>
      <c r="M86" s="10">
        <v>45658</v>
      </c>
      <c r="N86" s="2" t="s">
        <v>450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</row>
    <row r="87" spans="1:103" x14ac:dyDescent="0.25">
      <c r="A87" s="12" t="s">
        <v>377</v>
      </c>
      <c r="B87" s="12" t="s">
        <v>378</v>
      </c>
      <c r="C87" s="12" t="s">
        <v>16</v>
      </c>
      <c r="D87" s="12"/>
      <c r="E87" s="12"/>
      <c r="F87" s="12" t="s">
        <v>379</v>
      </c>
      <c r="G87" s="13">
        <v>28214</v>
      </c>
      <c r="H87" s="14">
        <v>266500</v>
      </c>
      <c r="I87" s="14">
        <v>70138</v>
      </c>
      <c r="J87" s="14">
        <f t="shared" si="1"/>
        <v>336638</v>
      </c>
      <c r="K87" s="15" t="s">
        <v>434</v>
      </c>
      <c r="L87" s="14"/>
      <c r="M87" s="16">
        <v>44593</v>
      </c>
    </row>
    <row r="88" spans="1:103" x14ac:dyDescent="0.25">
      <c r="A88" s="7" t="s">
        <v>380</v>
      </c>
      <c r="B88" s="7" t="s">
        <v>381</v>
      </c>
      <c r="C88" s="7" t="s">
        <v>382</v>
      </c>
      <c r="D88" s="7"/>
      <c r="E88" s="7" t="s">
        <v>383</v>
      </c>
      <c r="F88" s="7" t="s">
        <v>384</v>
      </c>
      <c r="G88" s="8">
        <v>109428</v>
      </c>
      <c r="H88" s="9">
        <v>250901</v>
      </c>
      <c r="I88" s="9">
        <v>34273</v>
      </c>
      <c r="J88" s="9">
        <f t="shared" si="1"/>
        <v>285174</v>
      </c>
      <c r="K88" s="9"/>
      <c r="L88" s="9"/>
      <c r="M88" s="10"/>
    </row>
    <row r="89" spans="1:103" s="7" customFormat="1" x14ac:dyDescent="0.25">
      <c r="A89" s="7" t="s">
        <v>385</v>
      </c>
      <c r="B89" s="7" t="s">
        <v>386</v>
      </c>
      <c r="C89" s="7" t="s">
        <v>16</v>
      </c>
      <c r="F89" s="7" t="s">
        <v>387</v>
      </c>
      <c r="G89" s="8">
        <v>35284</v>
      </c>
      <c r="H89" s="9">
        <v>380000</v>
      </c>
      <c r="I89" s="9">
        <v>75000</v>
      </c>
      <c r="J89" s="9">
        <f t="shared" si="1"/>
        <v>455000</v>
      </c>
      <c r="K89" s="11" t="s">
        <v>435</v>
      </c>
      <c r="L89" s="9"/>
      <c r="M89" s="10">
        <v>46023</v>
      </c>
      <c r="N89" s="2" t="s">
        <v>450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</row>
    <row r="90" spans="1:103" s="12" customFormat="1" x14ac:dyDescent="0.25">
      <c r="A90" s="12" t="s">
        <v>388</v>
      </c>
      <c r="B90" s="12" t="s">
        <v>389</v>
      </c>
      <c r="C90" s="12" t="s">
        <v>16</v>
      </c>
      <c r="D90" s="12" t="s">
        <v>390</v>
      </c>
      <c r="F90" s="12" t="s">
        <v>391</v>
      </c>
      <c r="G90" s="13">
        <v>7918</v>
      </c>
      <c r="H90" s="14">
        <v>320438</v>
      </c>
      <c r="I90" s="14">
        <v>105021</v>
      </c>
      <c r="J90" s="14">
        <f t="shared" ref="J90:J91" si="2">H90+I90</f>
        <v>425459</v>
      </c>
      <c r="K90" s="15" t="s">
        <v>438</v>
      </c>
      <c r="L90" s="14"/>
      <c r="M90" s="16">
        <v>43466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</row>
    <row r="91" spans="1:103" s="12" customFormat="1" x14ac:dyDescent="0.25">
      <c r="A91" s="12" t="s">
        <v>392</v>
      </c>
      <c r="B91" s="12" t="s">
        <v>393</v>
      </c>
      <c r="C91" s="12" t="s">
        <v>16</v>
      </c>
      <c r="D91" s="12" t="s">
        <v>394</v>
      </c>
      <c r="E91" s="12" t="s">
        <v>395</v>
      </c>
      <c r="F91" s="12" t="s">
        <v>396</v>
      </c>
      <c r="G91" s="13">
        <v>87850</v>
      </c>
      <c r="H91" s="14">
        <v>303202</v>
      </c>
      <c r="I91" s="14">
        <v>51911</v>
      </c>
      <c r="J91" s="14">
        <f t="shared" si="2"/>
        <v>355113</v>
      </c>
      <c r="K91" s="15" t="s">
        <v>434</v>
      </c>
      <c r="L91" s="14"/>
      <c r="M91" s="16">
        <v>45748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</row>
  </sheetData>
  <pageMargins left="0.75" right="0.75" top="1" bottom="1" header="0.5" footer="0.5"/>
  <pageSetup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5" x14ac:dyDescent="0.25"/>
  <cols>
    <col min="1" max="2" width="30" customWidth="1"/>
  </cols>
  <sheetData>
    <row r="1" spans="1:2" ht="18.75" customHeight="1" x14ac:dyDescent="0.3">
      <c r="A1" s="3" t="s">
        <v>397</v>
      </c>
    </row>
    <row r="3" spans="1:2" x14ac:dyDescent="0.25">
      <c r="A3" t="s">
        <v>398</v>
      </c>
      <c r="B3">
        <v>88</v>
      </c>
    </row>
    <row r="4" spans="1:2" x14ac:dyDescent="0.25">
      <c r="A4" t="s">
        <v>399</v>
      </c>
      <c r="B4">
        <v>85</v>
      </c>
    </row>
    <row r="5" spans="1:2" x14ac:dyDescent="0.25">
      <c r="A5" t="s">
        <v>400</v>
      </c>
      <c r="B5">
        <v>2</v>
      </c>
    </row>
    <row r="6" spans="1:2" x14ac:dyDescent="0.25">
      <c r="A6" t="s">
        <v>401</v>
      </c>
      <c r="B6">
        <v>1</v>
      </c>
    </row>
    <row r="8" spans="1:2" x14ac:dyDescent="0.25">
      <c r="A8" t="s">
        <v>402</v>
      </c>
      <c r="B8" s="4">
        <v>361983.23863636359</v>
      </c>
    </row>
    <row r="9" spans="1:2" x14ac:dyDescent="0.25">
      <c r="A9" t="s">
        <v>403</v>
      </c>
      <c r="B9" s="4">
        <v>717888</v>
      </c>
    </row>
    <row r="10" spans="1:2" x14ac:dyDescent="0.25">
      <c r="A10" t="s">
        <v>404</v>
      </c>
      <c r="B10" s="4">
        <v>162626</v>
      </c>
    </row>
    <row r="11" spans="1:2" x14ac:dyDescent="0.25">
      <c r="A11" t="s">
        <v>405</v>
      </c>
      <c r="B11" s="4">
        <v>361196</v>
      </c>
    </row>
    <row r="13" spans="1:2" x14ac:dyDescent="0.25">
      <c r="A13" t="s">
        <v>406</v>
      </c>
      <c r="B13" s="5">
        <v>8852161</v>
      </c>
    </row>
    <row r="15" spans="1:2" x14ac:dyDescent="0.25">
      <c r="A15" t="s">
        <v>407</v>
      </c>
      <c r="B15" t="s">
        <v>408</v>
      </c>
    </row>
    <row r="16" spans="1:2" x14ac:dyDescent="0.25">
      <c r="A16" t="s">
        <v>409</v>
      </c>
      <c r="B16" t="s">
        <v>410</v>
      </c>
    </row>
    <row r="17" spans="1:2" x14ac:dyDescent="0.25">
      <c r="A17" t="s">
        <v>411</v>
      </c>
      <c r="B17" s="4" t="s">
        <v>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2" customWidth="1"/>
    <col min="2" max="2" width="20" customWidth="1"/>
    <col min="3" max="3" width="18" customWidth="1"/>
    <col min="4" max="5" width="30" customWidth="1"/>
    <col min="6" max="6" width="40" customWidth="1"/>
  </cols>
  <sheetData>
    <row r="1" spans="1:6" ht="18.75" customHeight="1" x14ac:dyDescent="0.3">
      <c r="A1" s="3" t="s">
        <v>413</v>
      </c>
    </row>
    <row r="3" spans="1:6" x14ac:dyDescent="0.25">
      <c r="A3" s="6" t="s">
        <v>414</v>
      </c>
      <c r="B3" s="6" t="s">
        <v>0</v>
      </c>
      <c r="C3" s="6" t="s">
        <v>415</v>
      </c>
      <c r="D3" s="6" t="s">
        <v>416</v>
      </c>
      <c r="E3" s="6" t="s">
        <v>417</v>
      </c>
      <c r="F3" s="6" t="s">
        <v>13</v>
      </c>
    </row>
    <row r="4" spans="1:6" x14ac:dyDescent="0.25">
      <c r="A4" t="s">
        <v>418</v>
      </c>
      <c r="B4" t="s">
        <v>226</v>
      </c>
      <c r="C4" t="s">
        <v>419</v>
      </c>
      <c r="D4" t="s">
        <v>420</v>
      </c>
      <c r="E4" t="s">
        <v>421</v>
      </c>
      <c r="F4" t="s">
        <v>422</v>
      </c>
    </row>
    <row r="5" spans="1:6" x14ac:dyDescent="0.25">
      <c r="A5" t="s">
        <v>418</v>
      </c>
      <c r="B5" t="s">
        <v>385</v>
      </c>
      <c r="C5" t="s">
        <v>419</v>
      </c>
      <c r="D5" t="s">
        <v>423</v>
      </c>
      <c r="E5" t="s">
        <v>424</v>
      </c>
      <c r="F5" t="s">
        <v>425</v>
      </c>
    </row>
    <row r="6" spans="1:6" x14ac:dyDescent="0.25">
      <c r="A6" t="s">
        <v>426</v>
      </c>
      <c r="B6" t="s">
        <v>153</v>
      </c>
      <c r="C6" t="s">
        <v>427</v>
      </c>
      <c r="D6" t="s">
        <v>228</v>
      </c>
      <c r="E6" t="s">
        <v>16</v>
      </c>
      <c r="F6" t="s">
        <v>428</v>
      </c>
    </row>
    <row r="7" spans="1:6" x14ac:dyDescent="0.25">
      <c r="A7" t="s">
        <v>429</v>
      </c>
      <c r="B7" t="s">
        <v>311</v>
      </c>
      <c r="C7" t="s">
        <v>427</v>
      </c>
      <c r="D7" t="s">
        <v>228</v>
      </c>
      <c r="E7" t="s">
        <v>16</v>
      </c>
      <c r="F7" t="s">
        <v>430</v>
      </c>
    </row>
    <row r="8" spans="1:6" x14ac:dyDescent="0.25">
      <c r="A8" t="s">
        <v>431</v>
      </c>
      <c r="B8" t="s">
        <v>334</v>
      </c>
      <c r="C8" t="s">
        <v>419</v>
      </c>
      <c r="D8" t="s">
        <v>432</v>
      </c>
      <c r="E8" t="s">
        <v>335</v>
      </c>
      <c r="F8" t="s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 Manager Master</vt:lpstr>
      <vt:lpstr>Summary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Chaparyan, Aram</cp:lastModifiedBy>
  <cp:lastPrinted>2026-01-06T20:57:17Z</cp:lastPrinted>
  <dcterms:created xsi:type="dcterms:W3CDTF">2026-01-06T15:44:24Z</dcterms:created>
  <dcterms:modified xsi:type="dcterms:W3CDTF">2026-01-07T23:13:44Z</dcterms:modified>
</cp:coreProperties>
</file>